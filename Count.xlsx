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\home\ferre\Generations\"/>
    </mc:Choice>
  </mc:AlternateContent>
  <xr:revisionPtr revIDLastSave="0" documentId="13_ncr:1_{97F36980-2150-4E28-B51F-17A9BBE2341F}" xr6:coauthVersionLast="47" xr6:coauthVersionMax="47" xr10:uidLastSave="{00000000-0000-0000-0000-000000000000}"/>
  <bookViews>
    <workbookView xWindow="-120" yWindow="-120" windowWidth="20730" windowHeight="11040" xr2:uid="{FA8DC1D6-4B54-431A-9706-5A86D49164F6}"/>
  </bookViews>
  <sheets>
    <sheet name="Sheet2" sheetId="9" r:id="rId1"/>
    <sheet name="Sheet4" sheetId="5" r:id="rId2"/>
    <sheet name="Sheet6" sheetId="7" r:id="rId3"/>
    <sheet name="Sheet3" sheetId="4" r:id="rId4"/>
    <sheet name="Sheet1" sheetId="3" r:id="rId5"/>
    <sheet name="Sheet5" sheetId="6" r:id="rId6"/>
    <sheet name="1.7" sheetId="2" r:id="rId7"/>
    <sheet name="1.6" sheetId="1" r:id="rId8"/>
    <sheet name="Sheet7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1" i="9" l="1"/>
  <c r="D21" i="9"/>
  <c r="E21" i="9"/>
  <c r="F21" i="9"/>
  <c r="G21" i="9"/>
  <c r="H21" i="9"/>
  <c r="I21" i="9"/>
  <c r="C21" i="9"/>
  <c r="J21" i="9"/>
  <c r="AP5" i="8"/>
  <c r="AO5" i="8"/>
  <c r="AN5" i="8"/>
  <c r="AM5" i="8"/>
  <c r="B5" i="8"/>
  <c r="AP4" i="8"/>
  <c r="AO4" i="8"/>
  <c r="AN4" i="8"/>
  <c r="B4" i="8"/>
  <c r="AP3" i="8"/>
  <c r="AO3" i="8"/>
  <c r="AM3" i="8"/>
  <c r="AB3" i="8"/>
  <c r="Q3" i="8"/>
  <c r="E3" i="8"/>
  <c r="B3" i="8"/>
  <c r="AT2" i="8"/>
  <c r="AS2" i="8"/>
  <c r="AR2" i="8"/>
  <c r="AQ2" i="8"/>
  <c r="AP2" i="8"/>
  <c r="AO2" i="8"/>
  <c r="AN2" i="8"/>
  <c r="AM2" i="8"/>
  <c r="AL2" i="8"/>
  <c r="AI2" i="8"/>
  <c r="AH2" i="8"/>
  <c r="AG2" i="8"/>
  <c r="AF2" i="8"/>
  <c r="AE2" i="8"/>
  <c r="AD2" i="8"/>
  <c r="AC2" i="8"/>
  <c r="AB2" i="8"/>
  <c r="AA2" i="8"/>
  <c r="X2" i="8"/>
  <c r="W2" i="8"/>
  <c r="V2" i="8"/>
  <c r="U2" i="8"/>
  <c r="T2" i="8"/>
  <c r="S2" i="8"/>
  <c r="R2" i="8"/>
  <c r="Q2" i="8"/>
  <c r="P2" i="8"/>
  <c r="L2" i="8"/>
  <c r="K2" i="8"/>
  <c r="J2" i="8"/>
  <c r="I2" i="8"/>
  <c r="H2" i="8"/>
  <c r="G2" i="8"/>
  <c r="F2" i="8"/>
  <c r="E2" i="8"/>
  <c r="D2" i="8"/>
  <c r="R19" i="1"/>
  <c r="Q19" i="1"/>
  <c r="P19" i="1"/>
  <c r="O19" i="1"/>
  <c r="N19" i="1"/>
  <c r="M19" i="1"/>
  <c r="L19" i="1"/>
  <c r="S18" i="1"/>
  <c r="R18" i="1"/>
  <c r="Q18" i="1"/>
  <c r="P18" i="1"/>
  <c r="O18" i="1"/>
  <c r="N18" i="1"/>
  <c r="M18" i="1"/>
  <c r="L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I9" i="1"/>
  <c r="I8" i="1"/>
  <c r="I7" i="1"/>
  <c r="H5" i="1"/>
  <c r="G5" i="1"/>
  <c r="F5" i="1"/>
  <c r="E5" i="1"/>
  <c r="D5" i="1"/>
  <c r="C5" i="1"/>
  <c r="B5" i="1"/>
  <c r="K3" i="1"/>
  <c r="J1" i="1"/>
  <c r="I1" i="1"/>
  <c r="H1" i="1"/>
  <c r="G1" i="1"/>
  <c r="F1" i="1"/>
  <c r="E1" i="1"/>
  <c r="D1" i="1"/>
  <c r="C1" i="1"/>
  <c r="B1" i="1"/>
  <c r="O36" i="2"/>
  <c r="O35" i="2"/>
  <c r="O34" i="2"/>
  <c r="P31" i="2"/>
  <c r="P30" i="2"/>
  <c r="P29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X9" i="2" a="1"/>
  <c r="X9" i="2"/>
  <c r="W9" i="2"/>
  <c r="V9" i="2"/>
  <c r="U9" i="2"/>
  <c r="T9" i="2"/>
  <c r="S9" i="2"/>
  <c r="R9" i="2"/>
  <c r="Q9" i="2"/>
  <c r="P9" i="2"/>
  <c r="O9" i="2"/>
  <c r="N9" i="2"/>
  <c r="V7" i="2"/>
  <c r="U7" i="2"/>
  <c r="T7" i="2"/>
  <c r="S7" i="2"/>
  <c r="R7" i="2"/>
  <c r="Q7" i="2"/>
  <c r="P7" i="2"/>
  <c r="O7" i="2"/>
  <c r="N7" i="2"/>
  <c r="L7" i="2"/>
  <c r="I7" i="2"/>
  <c r="H7" i="2"/>
  <c r="G7" i="2"/>
  <c r="F7" i="2"/>
  <c r="E7" i="2"/>
  <c r="D7" i="2"/>
  <c r="C7" i="2"/>
  <c r="B7" i="2"/>
  <c r="W6" i="2"/>
  <c r="V6" i="2"/>
  <c r="U6" i="2"/>
  <c r="T6" i="2"/>
  <c r="S6" i="2"/>
  <c r="R6" i="2"/>
  <c r="Q6" i="2"/>
  <c r="P6" i="2"/>
  <c r="O6" i="2"/>
  <c r="N6" i="2"/>
  <c r="K5" i="2"/>
  <c r="J5" i="2"/>
  <c r="I5" i="2"/>
  <c r="H5" i="2"/>
  <c r="G5" i="2"/>
  <c r="F5" i="2"/>
  <c r="E5" i="2"/>
  <c r="D5" i="2"/>
  <c r="C5" i="2"/>
  <c r="B5" i="2"/>
  <c r="V4" i="2"/>
  <c r="U4" i="2"/>
  <c r="T4" i="2"/>
  <c r="S4" i="2"/>
  <c r="R4" i="2"/>
  <c r="Q4" i="2"/>
  <c r="P4" i="2"/>
  <c r="O4" i="2"/>
  <c r="N4" i="2"/>
  <c r="W3" i="2"/>
  <c r="K3" i="2"/>
  <c r="J3" i="2"/>
  <c r="I3" i="2"/>
  <c r="H3" i="2"/>
  <c r="G3" i="2"/>
  <c r="F3" i="2"/>
  <c r="E3" i="2"/>
  <c r="D3" i="2"/>
  <c r="C3" i="2"/>
  <c r="B3" i="2"/>
  <c r="V1" i="2"/>
  <c r="U1" i="2"/>
  <c r="T1" i="2"/>
  <c r="S1" i="2"/>
  <c r="R1" i="2"/>
  <c r="Q1" i="2"/>
  <c r="P1" i="2"/>
  <c r="O1" i="2"/>
  <c r="N1" i="2"/>
  <c r="J1" i="2"/>
  <c r="I1" i="2"/>
  <c r="H1" i="2"/>
  <c r="G1" i="2"/>
  <c r="F1" i="2"/>
  <c r="E1" i="2"/>
  <c r="D1" i="2"/>
  <c r="C1" i="2"/>
  <c r="B1" i="2"/>
  <c r="B37" i="6"/>
  <c r="B36" i="6"/>
  <c r="B35" i="6"/>
  <c r="B34" i="6"/>
  <c r="B33" i="6"/>
  <c r="P32" i="6"/>
  <c r="B32" i="6"/>
  <c r="P31" i="6"/>
  <c r="B31" i="6"/>
  <c r="P30" i="6"/>
  <c r="B30" i="6"/>
  <c r="P29" i="6"/>
  <c r="B29" i="6"/>
  <c r="P28" i="6"/>
  <c r="B28" i="6"/>
  <c r="P27" i="6"/>
  <c r="B27" i="6"/>
  <c r="P26" i="6"/>
  <c r="B26" i="6"/>
  <c r="P25" i="6"/>
  <c r="B25" i="6"/>
  <c r="P24" i="6"/>
  <c r="B24" i="6"/>
  <c r="P23" i="6"/>
  <c r="B23" i="6"/>
  <c r="P22" i="6"/>
  <c r="B22" i="6"/>
  <c r="P21" i="6"/>
  <c r="B21" i="6"/>
  <c r="W20" i="6"/>
  <c r="V20" i="6"/>
  <c r="P20" i="6"/>
  <c r="I20" i="6"/>
  <c r="H20" i="6"/>
  <c r="B20" i="6"/>
  <c r="AA19" i="6"/>
  <c r="Z19" i="6"/>
  <c r="X19" i="6"/>
  <c r="W19" i="6"/>
  <c r="V19" i="6"/>
  <c r="P19" i="6"/>
  <c r="M19" i="6"/>
  <c r="L19" i="6"/>
  <c r="J19" i="6"/>
  <c r="I19" i="6"/>
  <c r="H19" i="6"/>
  <c r="B19" i="6"/>
  <c r="AB18" i="6"/>
  <c r="AA18" i="6"/>
  <c r="Z18" i="6"/>
  <c r="X18" i="6"/>
  <c r="W18" i="6"/>
  <c r="V18" i="6"/>
  <c r="P18" i="6"/>
  <c r="N18" i="6"/>
  <c r="M18" i="6"/>
  <c r="L18" i="6"/>
  <c r="J18" i="6"/>
  <c r="I18" i="6"/>
  <c r="H18" i="6"/>
  <c r="B18" i="6"/>
  <c r="P17" i="6"/>
  <c r="B17" i="6"/>
  <c r="P16" i="6"/>
  <c r="B16" i="6"/>
  <c r="AA15" i="6"/>
  <c r="Z15" i="6"/>
  <c r="W15" i="6"/>
  <c r="V15" i="6"/>
  <c r="P15" i="6"/>
  <c r="M15" i="6"/>
  <c r="L15" i="6"/>
  <c r="I15" i="6"/>
  <c r="H15" i="6"/>
  <c r="B15" i="6"/>
  <c r="AB14" i="6"/>
  <c r="AA14" i="6"/>
  <c r="Z14" i="6"/>
  <c r="X14" i="6"/>
  <c r="W14" i="6"/>
  <c r="V14" i="6"/>
  <c r="P14" i="6"/>
  <c r="N14" i="6"/>
  <c r="M14" i="6"/>
  <c r="L14" i="6"/>
  <c r="J14" i="6"/>
  <c r="I14" i="6"/>
  <c r="H14" i="6"/>
  <c r="B14" i="6"/>
  <c r="AB13" i="6"/>
  <c r="AA13" i="6"/>
  <c r="Z13" i="6"/>
  <c r="X13" i="6"/>
  <c r="W13" i="6"/>
  <c r="V13" i="6"/>
  <c r="P13" i="6"/>
  <c r="N13" i="6"/>
  <c r="M13" i="6"/>
  <c r="L13" i="6"/>
  <c r="J13" i="6"/>
  <c r="I13" i="6"/>
  <c r="H13" i="6"/>
  <c r="B13" i="6"/>
  <c r="P12" i="6"/>
  <c r="B12" i="6"/>
  <c r="P11" i="6"/>
  <c r="B11" i="6"/>
  <c r="AA10" i="6"/>
  <c r="Z10" i="6"/>
  <c r="W10" i="6"/>
  <c r="V10" i="6"/>
  <c r="P10" i="6"/>
  <c r="M10" i="6"/>
  <c r="L10" i="6"/>
  <c r="I10" i="6"/>
  <c r="H10" i="6"/>
  <c r="B10" i="6"/>
  <c r="AB9" i="6"/>
  <c r="AA9" i="6"/>
  <c r="Z9" i="6"/>
  <c r="X9" i="6"/>
  <c r="W9" i="6"/>
  <c r="V9" i="6"/>
  <c r="P9" i="6"/>
  <c r="N9" i="6"/>
  <c r="M9" i="6"/>
  <c r="L9" i="6"/>
  <c r="J9" i="6"/>
  <c r="I9" i="6"/>
  <c r="H9" i="6"/>
  <c r="B9" i="6"/>
  <c r="AB8" i="6"/>
  <c r="AA8" i="6"/>
  <c r="Z8" i="6"/>
  <c r="X8" i="6"/>
  <c r="W8" i="6"/>
  <c r="V8" i="6"/>
  <c r="P8" i="6"/>
  <c r="N8" i="6"/>
  <c r="M8" i="6"/>
  <c r="L8" i="6"/>
  <c r="J8" i="6"/>
  <c r="I8" i="6"/>
  <c r="H8" i="6"/>
  <c r="B8" i="6"/>
  <c r="P7" i="6"/>
  <c r="B7" i="6"/>
  <c r="P6" i="6"/>
  <c r="B6" i="6"/>
  <c r="AA5" i="6"/>
  <c r="Z5" i="6"/>
  <c r="W5" i="6"/>
  <c r="V5" i="6"/>
  <c r="P5" i="6"/>
  <c r="M5" i="6"/>
  <c r="L5" i="6"/>
  <c r="I5" i="6"/>
  <c r="H5" i="6"/>
  <c r="B5" i="6"/>
  <c r="AB4" i="6"/>
  <c r="AA4" i="6"/>
  <c r="Z4" i="6"/>
  <c r="X4" i="6"/>
  <c r="W4" i="6"/>
  <c r="V4" i="6"/>
  <c r="P4" i="6"/>
  <c r="N4" i="6"/>
  <c r="M4" i="6"/>
  <c r="L4" i="6"/>
  <c r="J4" i="6"/>
  <c r="I4" i="6"/>
  <c r="H4" i="6"/>
  <c r="B4" i="6"/>
  <c r="AB3" i="6"/>
  <c r="AA3" i="6"/>
  <c r="Z3" i="6"/>
  <c r="X3" i="6"/>
  <c r="W3" i="6"/>
  <c r="V3" i="6"/>
  <c r="P3" i="6"/>
  <c r="N3" i="6"/>
  <c r="M3" i="6"/>
  <c r="L3" i="6"/>
  <c r="J3" i="6"/>
  <c r="I3" i="6"/>
  <c r="H3" i="6"/>
  <c r="B3" i="6"/>
  <c r="T2" i="6"/>
  <c r="P2" i="6"/>
  <c r="F2" i="6"/>
  <c r="B2" i="6"/>
  <c r="CP77" i="3"/>
  <c r="CO77" i="3"/>
  <c r="CN77" i="3"/>
  <c r="CB77" i="3"/>
  <c r="CA77" i="3"/>
  <c r="BZ77" i="3"/>
  <c r="BN77" i="3"/>
  <c r="BM77" i="3"/>
  <c r="BL77" i="3"/>
  <c r="AZ77" i="3"/>
  <c r="AY77" i="3"/>
  <c r="AX77" i="3"/>
  <c r="AL77" i="3"/>
  <c r="AK77" i="3"/>
  <c r="AJ77" i="3"/>
  <c r="X77" i="3"/>
  <c r="W77" i="3"/>
  <c r="V77" i="3"/>
  <c r="J77" i="3"/>
  <c r="I77" i="3"/>
  <c r="H77" i="3"/>
  <c r="CP76" i="3"/>
  <c r="CO76" i="3"/>
  <c r="CN76" i="3"/>
  <c r="CB76" i="3"/>
  <c r="CA76" i="3"/>
  <c r="BZ76" i="3"/>
  <c r="BN76" i="3"/>
  <c r="BM76" i="3"/>
  <c r="BL76" i="3"/>
  <c r="AZ76" i="3"/>
  <c r="AY76" i="3"/>
  <c r="AX76" i="3"/>
  <c r="AL76" i="3"/>
  <c r="AK76" i="3"/>
  <c r="AJ76" i="3"/>
  <c r="X76" i="3"/>
  <c r="W76" i="3"/>
  <c r="V76" i="3"/>
  <c r="J76" i="3"/>
  <c r="I76" i="3"/>
  <c r="H76" i="3"/>
  <c r="CP75" i="3"/>
  <c r="CO75" i="3"/>
  <c r="CN75" i="3"/>
  <c r="CB75" i="3"/>
  <c r="CA75" i="3"/>
  <c r="BZ75" i="3"/>
  <c r="BN75" i="3"/>
  <c r="BM75" i="3"/>
  <c r="BL75" i="3"/>
  <c r="AZ75" i="3"/>
  <c r="AY75" i="3"/>
  <c r="AX75" i="3"/>
  <c r="AL75" i="3"/>
  <c r="AK75" i="3"/>
  <c r="AJ75" i="3"/>
  <c r="X75" i="3"/>
  <c r="W75" i="3"/>
  <c r="V75" i="3"/>
  <c r="J75" i="3"/>
  <c r="I75" i="3"/>
  <c r="H75" i="3"/>
  <c r="CP74" i="3"/>
  <c r="CO74" i="3"/>
  <c r="CN74" i="3"/>
  <c r="CB74" i="3"/>
  <c r="CA74" i="3"/>
  <c r="BZ74" i="3"/>
  <c r="BN74" i="3"/>
  <c r="BM74" i="3"/>
  <c r="BL74" i="3"/>
  <c r="AZ74" i="3"/>
  <c r="AY74" i="3"/>
  <c r="AX74" i="3"/>
  <c r="AL74" i="3"/>
  <c r="AK74" i="3"/>
  <c r="AJ74" i="3"/>
  <c r="X74" i="3"/>
  <c r="W74" i="3"/>
  <c r="V74" i="3"/>
  <c r="J74" i="3"/>
  <c r="I74" i="3"/>
  <c r="H74" i="3"/>
  <c r="CP73" i="3"/>
  <c r="CO73" i="3"/>
  <c r="CN73" i="3"/>
  <c r="CB73" i="3"/>
  <c r="CA73" i="3"/>
  <c r="BZ73" i="3"/>
  <c r="BN73" i="3"/>
  <c r="BM73" i="3"/>
  <c r="BL73" i="3"/>
  <c r="AZ73" i="3"/>
  <c r="AY73" i="3"/>
  <c r="AX73" i="3"/>
  <c r="AL73" i="3"/>
  <c r="AK73" i="3"/>
  <c r="AJ73" i="3"/>
  <c r="X73" i="3"/>
  <c r="W73" i="3"/>
  <c r="V73" i="3"/>
  <c r="J73" i="3"/>
  <c r="I73" i="3"/>
  <c r="H73" i="3"/>
  <c r="CP72" i="3"/>
  <c r="CO72" i="3"/>
  <c r="CN72" i="3"/>
  <c r="CB72" i="3"/>
  <c r="CA72" i="3"/>
  <c r="BZ72" i="3"/>
  <c r="BN72" i="3"/>
  <c r="BM72" i="3"/>
  <c r="BL72" i="3"/>
  <c r="AZ72" i="3"/>
  <c r="AY72" i="3"/>
  <c r="AX72" i="3"/>
  <c r="AL72" i="3"/>
  <c r="AK72" i="3"/>
  <c r="AJ72" i="3"/>
  <c r="X72" i="3"/>
  <c r="W72" i="3"/>
  <c r="V72" i="3"/>
  <c r="J72" i="3"/>
  <c r="I72" i="3"/>
  <c r="H72" i="3"/>
  <c r="CP71" i="3"/>
  <c r="CO71" i="3"/>
  <c r="CN71" i="3"/>
  <c r="CB71" i="3"/>
  <c r="CA71" i="3"/>
  <c r="BZ71" i="3"/>
  <c r="BN71" i="3"/>
  <c r="BM71" i="3"/>
  <c r="BL71" i="3"/>
  <c r="AZ71" i="3"/>
  <c r="AY71" i="3"/>
  <c r="AX71" i="3"/>
  <c r="AL71" i="3"/>
  <c r="AK71" i="3"/>
  <c r="AJ71" i="3"/>
  <c r="X71" i="3"/>
  <c r="W71" i="3"/>
  <c r="V71" i="3"/>
  <c r="J71" i="3"/>
  <c r="I71" i="3"/>
  <c r="H71" i="3"/>
  <c r="CP70" i="3"/>
  <c r="CO70" i="3"/>
  <c r="CN70" i="3"/>
  <c r="CB70" i="3"/>
  <c r="CA70" i="3"/>
  <c r="BZ70" i="3"/>
  <c r="BN70" i="3"/>
  <c r="BM70" i="3"/>
  <c r="BL70" i="3"/>
  <c r="AZ70" i="3"/>
  <c r="AY70" i="3"/>
  <c r="AX70" i="3"/>
  <c r="AL70" i="3"/>
  <c r="AK70" i="3"/>
  <c r="AJ70" i="3"/>
  <c r="X70" i="3"/>
  <c r="W70" i="3"/>
  <c r="V70" i="3"/>
  <c r="J70" i="3"/>
  <c r="I70" i="3"/>
  <c r="H70" i="3"/>
  <c r="CP69" i="3"/>
  <c r="CO69" i="3"/>
  <c r="CN69" i="3"/>
  <c r="CB69" i="3"/>
  <c r="CA69" i="3"/>
  <c r="BZ69" i="3"/>
  <c r="BN69" i="3"/>
  <c r="BM69" i="3"/>
  <c r="BL69" i="3"/>
  <c r="AZ69" i="3"/>
  <c r="AY69" i="3"/>
  <c r="AX69" i="3"/>
  <c r="AL69" i="3"/>
  <c r="AK69" i="3"/>
  <c r="AJ69" i="3"/>
  <c r="X69" i="3"/>
  <c r="W69" i="3"/>
  <c r="V69" i="3"/>
  <c r="J69" i="3"/>
  <c r="I69" i="3"/>
  <c r="H69" i="3"/>
  <c r="CP68" i="3"/>
  <c r="CO68" i="3"/>
  <c r="CN68" i="3"/>
  <c r="CB68" i="3"/>
  <c r="CA68" i="3"/>
  <c r="BZ68" i="3"/>
  <c r="BN68" i="3"/>
  <c r="BM68" i="3"/>
  <c r="BL68" i="3"/>
  <c r="AZ68" i="3"/>
  <c r="AY68" i="3"/>
  <c r="AX68" i="3"/>
  <c r="AL68" i="3"/>
  <c r="AK68" i="3"/>
  <c r="AJ68" i="3"/>
  <c r="X68" i="3"/>
  <c r="W68" i="3"/>
  <c r="V68" i="3"/>
  <c r="J68" i="3"/>
  <c r="I68" i="3"/>
  <c r="H68" i="3"/>
  <c r="CP67" i="3"/>
  <c r="CO67" i="3"/>
  <c r="CN67" i="3"/>
  <c r="CB67" i="3"/>
  <c r="CA67" i="3"/>
  <c r="BZ67" i="3"/>
  <c r="BN67" i="3"/>
  <c r="BM67" i="3"/>
  <c r="BL67" i="3"/>
  <c r="AZ67" i="3"/>
  <c r="AY67" i="3"/>
  <c r="AX67" i="3"/>
  <c r="AL67" i="3"/>
  <c r="AK67" i="3"/>
  <c r="AJ67" i="3"/>
  <c r="X67" i="3"/>
  <c r="W67" i="3"/>
  <c r="V67" i="3"/>
  <c r="J67" i="3"/>
  <c r="I67" i="3"/>
  <c r="H67" i="3"/>
  <c r="CP66" i="3"/>
  <c r="CO66" i="3"/>
  <c r="CN66" i="3"/>
  <c r="CB66" i="3"/>
  <c r="CA66" i="3"/>
  <c r="BZ66" i="3"/>
  <c r="BN66" i="3"/>
  <c r="BM66" i="3"/>
  <c r="BL66" i="3"/>
  <c r="AZ66" i="3"/>
  <c r="AY66" i="3"/>
  <c r="AX66" i="3"/>
  <c r="AL66" i="3"/>
  <c r="AK66" i="3"/>
  <c r="AJ66" i="3"/>
  <c r="X66" i="3"/>
  <c r="W66" i="3"/>
  <c r="V66" i="3"/>
  <c r="J66" i="3"/>
  <c r="I66" i="3"/>
  <c r="H66" i="3"/>
  <c r="CP65" i="3"/>
  <c r="CO65" i="3"/>
  <c r="CN65" i="3"/>
  <c r="CB65" i="3"/>
  <c r="CA65" i="3"/>
  <c r="BZ65" i="3"/>
  <c r="BN65" i="3"/>
  <c r="BM65" i="3"/>
  <c r="BL65" i="3"/>
  <c r="AZ65" i="3"/>
  <c r="AY65" i="3"/>
  <c r="AX65" i="3"/>
  <c r="AL65" i="3"/>
  <c r="AK65" i="3"/>
  <c r="AJ65" i="3"/>
  <c r="X65" i="3"/>
  <c r="W65" i="3"/>
  <c r="V65" i="3"/>
  <c r="J65" i="3"/>
  <c r="I65" i="3"/>
  <c r="H65" i="3"/>
  <c r="CP64" i="3"/>
  <c r="CO64" i="3"/>
  <c r="CN64" i="3"/>
  <c r="CB64" i="3"/>
  <c r="CA64" i="3"/>
  <c r="BZ64" i="3"/>
  <c r="BN64" i="3"/>
  <c r="BM64" i="3"/>
  <c r="BL64" i="3"/>
  <c r="AZ64" i="3"/>
  <c r="AY64" i="3"/>
  <c r="AX64" i="3"/>
  <c r="AL64" i="3"/>
  <c r="AK64" i="3"/>
  <c r="AJ64" i="3"/>
  <c r="X64" i="3"/>
  <c r="W64" i="3"/>
  <c r="V64" i="3"/>
  <c r="J64" i="3"/>
  <c r="I64" i="3"/>
  <c r="H64" i="3"/>
  <c r="CP63" i="3"/>
  <c r="CO63" i="3"/>
  <c r="CN63" i="3"/>
  <c r="CB63" i="3"/>
  <c r="CA63" i="3"/>
  <c r="BZ63" i="3"/>
  <c r="BN63" i="3"/>
  <c r="BM63" i="3"/>
  <c r="BL63" i="3"/>
  <c r="AZ63" i="3"/>
  <c r="AY63" i="3"/>
  <c r="AX63" i="3"/>
  <c r="AL63" i="3"/>
  <c r="AK63" i="3"/>
  <c r="AJ63" i="3"/>
  <c r="X63" i="3"/>
  <c r="W63" i="3"/>
  <c r="V63" i="3"/>
  <c r="J63" i="3"/>
  <c r="I63" i="3"/>
  <c r="H63" i="3"/>
  <c r="CP62" i="3"/>
  <c r="CO62" i="3"/>
  <c r="CN62" i="3"/>
  <c r="CB62" i="3"/>
  <c r="CA62" i="3"/>
  <c r="BZ62" i="3"/>
  <c r="BN62" i="3"/>
  <c r="BM62" i="3"/>
  <c r="BL62" i="3"/>
  <c r="AZ62" i="3"/>
  <c r="AY62" i="3"/>
  <c r="AX62" i="3"/>
  <c r="AL62" i="3"/>
  <c r="AK62" i="3"/>
  <c r="AJ62" i="3"/>
  <c r="X62" i="3"/>
  <c r="W62" i="3"/>
  <c r="V62" i="3"/>
  <c r="J62" i="3"/>
  <c r="I62" i="3"/>
  <c r="H62" i="3"/>
  <c r="CP61" i="3"/>
  <c r="CO61" i="3"/>
  <c r="CN61" i="3"/>
  <c r="CB61" i="3"/>
  <c r="CA61" i="3"/>
  <c r="BZ61" i="3"/>
  <c r="BN61" i="3"/>
  <c r="BM61" i="3"/>
  <c r="BL61" i="3"/>
  <c r="AZ61" i="3"/>
  <c r="AY61" i="3"/>
  <c r="AX61" i="3"/>
  <c r="AL61" i="3"/>
  <c r="AK61" i="3"/>
  <c r="AJ61" i="3"/>
  <c r="X61" i="3"/>
  <c r="W61" i="3"/>
  <c r="V61" i="3"/>
  <c r="J61" i="3"/>
  <c r="I61" i="3"/>
  <c r="H61" i="3"/>
  <c r="CP60" i="3"/>
  <c r="CO60" i="3"/>
  <c r="CN60" i="3"/>
  <c r="CB60" i="3"/>
  <c r="CA60" i="3"/>
  <c r="BZ60" i="3"/>
  <c r="BN60" i="3"/>
  <c r="BM60" i="3"/>
  <c r="BL60" i="3"/>
  <c r="AZ60" i="3"/>
  <c r="AY60" i="3"/>
  <c r="AX60" i="3"/>
  <c r="AL60" i="3"/>
  <c r="AK60" i="3"/>
  <c r="AJ60" i="3"/>
  <c r="X60" i="3"/>
  <c r="W60" i="3"/>
  <c r="V60" i="3"/>
  <c r="J60" i="3"/>
  <c r="I60" i="3"/>
  <c r="H60" i="3"/>
  <c r="CP59" i="3"/>
  <c r="CO59" i="3"/>
  <c r="CN59" i="3"/>
  <c r="CB59" i="3"/>
  <c r="CA59" i="3"/>
  <c r="BZ59" i="3"/>
  <c r="BN59" i="3"/>
  <c r="BM59" i="3"/>
  <c r="BL59" i="3"/>
  <c r="AZ59" i="3"/>
  <c r="AY59" i="3"/>
  <c r="AX59" i="3"/>
  <c r="AL59" i="3"/>
  <c r="AK59" i="3"/>
  <c r="AJ59" i="3"/>
  <c r="X59" i="3"/>
  <c r="W59" i="3"/>
  <c r="V59" i="3"/>
  <c r="J59" i="3"/>
  <c r="I59" i="3"/>
  <c r="H59" i="3"/>
  <c r="CP58" i="3"/>
  <c r="CO58" i="3"/>
  <c r="CN58" i="3"/>
  <c r="CB58" i="3"/>
  <c r="CA58" i="3"/>
  <c r="BZ58" i="3"/>
  <c r="BN58" i="3"/>
  <c r="BM58" i="3"/>
  <c r="BL58" i="3"/>
  <c r="AZ58" i="3"/>
  <c r="AY58" i="3"/>
  <c r="AX58" i="3"/>
  <c r="AL58" i="3"/>
  <c r="AK58" i="3"/>
  <c r="AJ58" i="3"/>
  <c r="X58" i="3"/>
  <c r="W58" i="3"/>
  <c r="V58" i="3"/>
  <c r="J58" i="3"/>
  <c r="I58" i="3"/>
  <c r="H58" i="3"/>
  <c r="CP57" i="3"/>
  <c r="CO57" i="3"/>
  <c r="CN57" i="3"/>
  <c r="CB57" i="3"/>
  <c r="CA57" i="3"/>
  <c r="BZ57" i="3"/>
  <c r="BN57" i="3"/>
  <c r="BM57" i="3"/>
  <c r="BL57" i="3"/>
  <c r="AZ57" i="3"/>
  <c r="AY57" i="3"/>
  <c r="AX57" i="3"/>
  <c r="AL57" i="3"/>
  <c r="AK57" i="3"/>
  <c r="AJ57" i="3"/>
  <c r="X57" i="3"/>
  <c r="W57" i="3"/>
  <c r="V57" i="3"/>
  <c r="J57" i="3"/>
  <c r="I57" i="3"/>
  <c r="H57" i="3"/>
  <c r="CP56" i="3"/>
  <c r="CO56" i="3"/>
  <c r="CN56" i="3"/>
  <c r="CB56" i="3"/>
  <c r="CA56" i="3"/>
  <c r="BZ56" i="3"/>
  <c r="BN56" i="3"/>
  <c r="BM56" i="3"/>
  <c r="BL56" i="3"/>
  <c r="AZ56" i="3"/>
  <c r="AY56" i="3"/>
  <c r="AX56" i="3"/>
  <c r="AL56" i="3"/>
  <c r="AK56" i="3"/>
  <c r="AJ56" i="3"/>
  <c r="X56" i="3"/>
  <c r="W56" i="3"/>
  <c r="V56" i="3"/>
  <c r="J56" i="3"/>
  <c r="I56" i="3"/>
  <c r="H56" i="3"/>
  <c r="CP55" i="3"/>
  <c r="CO55" i="3"/>
  <c r="CN55" i="3"/>
  <c r="CB55" i="3"/>
  <c r="CA55" i="3"/>
  <c r="BZ55" i="3"/>
  <c r="BN55" i="3"/>
  <c r="BM55" i="3"/>
  <c r="BL55" i="3"/>
  <c r="AZ55" i="3"/>
  <c r="AY55" i="3"/>
  <c r="AX55" i="3"/>
  <c r="AL55" i="3"/>
  <c r="AK55" i="3"/>
  <c r="AJ55" i="3"/>
  <c r="X55" i="3"/>
  <c r="W55" i="3"/>
  <c r="V55" i="3"/>
  <c r="J55" i="3"/>
  <c r="I55" i="3"/>
  <c r="H55" i="3"/>
  <c r="CP54" i="3"/>
  <c r="CO54" i="3"/>
  <c r="CN54" i="3"/>
  <c r="CB54" i="3"/>
  <c r="CA54" i="3"/>
  <c r="BZ54" i="3"/>
  <c r="BN54" i="3"/>
  <c r="BM54" i="3"/>
  <c r="BL54" i="3"/>
  <c r="AZ54" i="3"/>
  <c r="AY54" i="3"/>
  <c r="AX54" i="3"/>
  <c r="AL54" i="3"/>
  <c r="AK54" i="3"/>
  <c r="AJ54" i="3"/>
  <c r="X54" i="3"/>
  <c r="W54" i="3"/>
  <c r="V54" i="3"/>
  <c r="J54" i="3"/>
  <c r="I54" i="3"/>
  <c r="H54" i="3"/>
  <c r="CP53" i="3"/>
  <c r="CO53" i="3"/>
  <c r="CN53" i="3"/>
  <c r="CB53" i="3"/>
  <c r="CA53" i="3"/>
  <c r="BZ53" i="3"/>
  <c r="BN53" i="3"/>
  <c r="BM53" i="3"/>
  <c r="BL53" i="3"/>
  <c r="AZ53" i="3"/>
  <c r="AY53" i="3"/>
  <c r="AX53" i="3"/>
  <c r="AL53" i="3"/>
  <c r="AK53" i="3"/>
  <c r="AJ53" i="3"/>
  <c r="X53" i="3"/>
  <c r="W53" i="3"/>
  <c r="V53" i="3"/>
  <c r="J53" i="3"/>
  <c r="I53" i="3"/>
  <c r="H53" i="3"/>
  <c r="CP52" i="3"/>
  <c r="CO52" i="3"/>
  <c r="CN52" i="3"/>
  <c r="CB52" i="3"/>
  <c r="CA52" i="3"/>
  <c r="BZ52" i="3"/>
  <c r="BN52" i="3"/>
  <c r="BM52" i="3"/>
  <c r="BL52" i="3"/>
  <c r="AZ52" i="3"/>
  <c r="AY52" i="3"/>
  <c r="AX52" i="3"/>
  <c r="AL52" i="3"/>
  <c r="AK52" i="3"/>
  <c r="AJ52" i="3"/>
  <c r="X52" i="3"/>
  <c r="W52" i="3"/>
  <c r="V52" i="3"/>
  <c r="J52" i="3"/>
  <c r="I52" i="3"/>
  <c r="H52" i="3"/>
  <c r="CP51" i="3"/>
  <c r="CO51" i="3"/>
  <c r="CN51" i="3"/>
  <c r="CB51" i="3"/>
  <c r="CA51" i="3"/>
  <c r="BZ51" i="3"/>
  <c r="BN51" i="3"/>
  <c r="BM51" i="3"/>
  <c r="BL51" i="3"/>
  <c r="AZ51" i="3"/>
  <c r="AY51" i="3"/>
  <c r="AX51" i="3"/>
  <c r="AL51" i="3"/>
  <c r="AK51" i="3"/>
  <c r="AJ51" i="3"/>
  <c r="X51" i="3"/>
  <c r="W51" i="3"/>
  <c r="V51" i="3"/>
  <c r="J51" i="3"/>
  <c r="I51" i="3"/>
  <c r="H51" i="3"/>
  <c r="CP50" i="3"/>
  <c r="CO50" i="3"/>
  <c r="CN50" i="3"/>
  <c r="CB50" i="3"/>
  <c r="CA50" i="3"/>
  <c r="BZ50" i="3"/>
  <c r="BN50" i="3"/>
  <c r="BM50" i="3"/>
  <c r="BL50" i="3"/>
  <c r="AZ50" i="3"/>
  <c r="AY50" i="3"/>
  <c r="AX50" i="3"/>
  <c r="AL50" i="3"/>
  <c r="AK50" i="3"/>
  <c r="AJ50" i="3"/>
  <c r="X50" i="3"/>
  <c r="W50" i="3"/>
  <c r="V50" i="3"/>
  <c r="J50" i="3"/>
  <c r="I50" i="3"/>
  <c r="H50" i="3"/>
  <c r="CP49" i="3"/>
  <c r="CO49" i="3"/>
  <c r="CN49" i="3"/>
  <c r="CB49" i="3"/>
  <c r="CA49" i="3"/>
  <c r="BZ49" i="3"/>
  <c r="BN49" i="3"/>
  <c r="BM49" i="3"/>
  <c r="BL49" i="3"/>
  <c r="AZ49" i="3"/>
  <c r="AY49" i="3"/>
  <c r="AX49" i="3"/>
  <c r="AL49" i="3"/>
  <c r="AK49" i="3"/>
  <c r="AJ49" i="3"/>
  <c r="X49" i="3"/>
  <c r="W49" i="3"/>
  <c r="V49" i="3"/>
  <c r="J49" i="3"/>
  <c r="I49" i="3"/>
  <c r="H49" i="3"/>
  <c r="CP48" i="3"/>
  <c r="CO48" i="3"/>
  <c r="CN48" i="3"/>
  <c r="CB48" i="3"/>
  <c r="CA48" i="3"/>
  <c r="BZ48" i="3"/>
  <c r="BN48" i="3"/>
  <c r="BM48" i="3"/>
  <c r="BL48" i="3"/>
  <c r="AZ48" i="3"/>
  <c r="AY48" i="3"/>
  <c r="AX48" i="3"/>
  <c r="AL48" i="3"/>
  <c r="AK48" i="3"/>
  <c r="AJ48" i="3"/>
  <c r="X48" i="3"/>
  <c r="W48" i="3"/>
  <c r="V48" i="3"/>
  <c r="J48" i="3"/>
  <c r="I48" i="3"/>
  <c r="H48" i="3"/>
  <c r="CP47" i="3"/>
  <c r="CO47" i="3"/>
  <c r="CN47" i="3"/>
  <c r="CB47" i="3"/>
  <c r="CA47" i="3"/>
  <c r="BZ47" i="3"/>
  <c r="BN47" i="3"/>
  <c r="BM47" i="3"/>
  <c r="BL47" i="3"/>
  <c r="AZ47" i="3"/>
  <c r="AY47" i="3"/>
  <c r="AX47" i="3"/>
  <c r="AL47" i="3"/>
  <c r="AK47" i="3"/>
  <c r="AJ47" i="3"/>
  <c r="X47" i="3"/>
  <c r="W47" i="3"/>
  <c r="V47" i="3"/>
  <c r="J47" i="3"/>
  <c r="I47" i="3"/>
  <c r="H47" i="3"/>
  <c r="CP46" i="3"/>
  <c r="CO46" i="3"/>
  <c r="CN46" i="3"/>
  <c r="CB46" i="3"/>
  <c r="CA46" i="3"/>
  <c r="BZ46" i="3"/>
  <c r="BN46" i="3"/>
  <c r="BM46" i="3"/>
  <c r="BL46" i="3"/>
  <c r="AZ46" i="3"/>
  <c r="AY46" i="3"/>
  <c r="AX46" i="3"/>
  <c r="AL46" i="3"/>
  <c r="AK46" i="3"/>
  <c r="AJ46" i="3"/>
  <c r="X46" i="3"/>
  <c r="W46" i="3"/>
  <c r="V46" i="3"/>
  <c r="J46" i="3"/>
  <c r="I46" i="3"/>
  <c r="H46" i="3"/>
  <c r="CP45" i="3"/>
  <c r="CO45" i="3"/>
  <c r="CN45" i="3"/>
  <c r="CB45" i="3"/>
  <c r="CA45" i="3"/>
  <c r="BZ45" i="3"/>
  <c r="BN45" i="3"/>
  <c r="BM45" i="3"/>
  <c r="BL45" i="3"/>
  <c r="AZ45" i="3"/>
  <c r="AY45" i="3"/>
  <c r="AX45" i="3"/>
  <c r="AL45" i="3"/>
  <c r="AK45" i="3"/>
  <c r="AJ45" i="3"/>
  <c r="X45" i="3"/>
  <c r="W45" i="3"/>
  <c r="V45" i="3"/>
  <c r="J45" i="3"/>
  <c r="I45" i="3"/>
  <c r="H45" i="3"/>
  <c r="CP44" i="3"/>
  <c r="CO44" i="3"/>
  <c r="CN44" i="3"/>
  <c r="CB44" i="3"/>
  <c r="CA44" i="3"/>
  <c r="BZ44" i="3"/>
  <c r="BN44" i="3"/>
  <c r="BM44" i="3"/>
  <c r="BL44" i="3"/>
  <c r="AZ44" i="3"/>
  <c r="AY44" i="3"/>
  <c r="AX44" i="3"/>
  <c r="AL44" i="3"/>
  <c r="AK44" i="3"/>
  <c r="AJ44" i="3"/>
  <c r="X44" i="3"/>
  <c r="W44" i="3"/>
  <c r="V44" i="3"/>
  <c r="J44" i="3"/>
  <c r="I44" i="3"/>
  <c r="H44" i="3"/>
  <c r="CP43" i="3"/>
  <c r="CO43" i="3"/>
  <c r="CN43" i="3"/>
  <c r="CB43" i="3"/>
  <c r="CA43" i="3"/>
  <c r="BZ43" i="3"/>
  <c r="BN43" i="3"/>
  <c r="BM43" i="3"/>
  <c r="BL43" i="3"/>
  <c r="AZ43" i="3"/>
  <c r="AY43" i="3"/>
  <c r="AX43" i="3"/>
  <c r="AL43" i="3"/>
  <c r="AK43" i="3"/>
  <c r="AJ43" i="3"/>
  <c r="X43" i="3"/>
  <c r="W43" i="3"/>
  <c r="V43" i="3"/>
  <c r="J43" i="3"/>
  <c r="I43" i="3"/>
  <c r="H43" i="3"/>
  <c r="CP42" i="3"/>
  <c r="CO42" i="3"/>
  <c r="CN42" i="3"/>
  <c r="CB42" i="3"/>
  <c r="CA42" i="3"/>
  <c r="BZ42" i="3"/>
  <c r="BN42" i="3"/>
  <c r="BM42" i="3"/>
  <c r="BL42" i="3"/>
  <c r="AZ42" i="3"/>
  <c r="AY42" i="3"/>
  <c r="AX42" i="3"/>
  <c r="AL42" i="3"/>
  <c r="AK42" i="3"/>
  <c r="AJ42" i="3"/>
  <c r="X42" i="3"/>
  <c r="W42" i="3"/>
  <c r="V42" i="3"/>
  <c r="J42" i="3"/>
  <c r="I42" i="3"/>
  <c r="H42" i="3"/>
  <c r="CP41" i="3"/>
  <c r="CO41" i="3"/>
  <c r="CN41" i="3"/>
  <c r="CB41" i="3"/>
  <c r="CA41" i="3"/>
  <c r="BZ41" i="3"/>
  <c r="BN41" i="3"/>
  <c r="BM41" i="3"/>
  <c r="BL41" i="3"/>
  <c r="AZ41" i="3"/>
  <c r="AY41" i="3"/>
  <c r="AX41" i="3"/>
  <c r="AL41" i="3"/>
  <c r="AK41" i="3"/>
  <c r="AJ41" i="3"/>
  <c r="X41" i="3"/>
  <c r="W41" i="3"/>
  <c r="V41" i="3"/>
  <c r="J41" i="3"/>
  <c r="I41" i="3"/>
  <c r="H41" i="3"/>
  <c r="CP39" i="3"/>
  <c r="CO39" i="3"/>
  <c r="CN39" i="3"/>
  <c r="CB39" i="3"/>
  <c r="CA39" i="3"/>
  <c r="BZ39" i="3"/>
  <c r="BN39" i="3"/>
  <c r="BM39" i="3"/>
  <c r="BL39" i="3"/>
  <c r="AZ39" i="3"/>
  <c r="AY39" i="3"/>
  <c r="AX39" i="3"/>
  <c r="AL39" i="3"/>
  <c r="AK39" i="3"/>
  <c r="AJ39" i="3"/>
  <c r="X39" i="3"/>
  <c r="W39" i="3"/>
  <c r="V39" i="3"/>
  <c r="J39" i="3"/>
  <c r="I39" i="3"/>
  <c r="H39" i="3"/>
  <c r="CP38" i="3"/>
  <c r="CO38" i="3"/>
  <c r="CN38" i="3"/>
  <c r="CB38" i="3"/>
  <c r="CA38" i="3"/>
  <c r="BZ38" i="3"/>
  <c r="BN38" i="3"/>
  <c r="BM38" i="3"/>
  <c r="BL38" i="3"/>
  <c r="AZ38" i="3"/>
  <c r="AY38" i="3"/>
  <c r="AX38" i="3"/>
  <c r="AL38" i="3"/>
  <c r="AK38" i="3"/>
  <c r="AJ38" i="3"/>
  <c r="X38" i="3"/>
  <c r="W38" i="3"/>
  <c r="V38" i="3"/>
  <c r="J38" i="3"/>
  <c r="I38" i="3"/>
  <c r="H38" i="3"/>
  <c r="CP37" i="3"/>
  <c r="CO37" i="3"/>
  <c r="CN37" i="3"/>
  <c r="CB37" i="3"/>
  <c r="CA37" i="3"/>
  <c r="BZ37" i="3"/>
  <c r="BN37" i="3"/>
  <c r="BM37" i="3"/>
  <c r="BL37" i="3"/>
  <c r="AZ37" i="3"/>
  <c r="AY37" i="3"/>
  <c r="AX37" i="3"/>
  <c r="AL37" i="3"/>
  <c r="AK37" i="3"/>
  <c r="AJ37" i="3"/>
  <c r="X37" i="3"/>
  <c r="W37" i="3"/>
  <c r="V37" i="3"/>
  <c r="J37" i="3"/>
  <c r="I37" i="3"/>
  <c r="H37" i="3"/>
  <c r="CP36" i="3"/>
  <c r="CO36" i="3"/>
  <c r="CN36" i="3"/>
  <c r="CB36" i="3"/>
  <c r="CA36" i="3"/>
  <c r="BZ36" i="3"/>
  <c r="BN36" i="3"/>
  <c r="BM36" i="3"/>
  <c r="BL36" i="3"/>
  <c r="AZ36" i="3"/>
  <c r="AY36" i="3"/>
  <c r="AX36" i="3"/>
  <c r="AL36" i="3"/>
  <c r="AK36" i="3"/>
  <c r="AJ36" i="3"/>
  <c r="X36" i="3"/>
  <c r="W36" i="3"/>
  <c r="V36" i="3"/>
  <c r="J36" i="3"/>
  <c r="I36" i="3"/>
  <c r="H36" i="3"/>
  <c r="CP35" i="3"/>
  <c r="CO35" i="3"/>
  <c r="CN35" i="3"/>
  <c r="CB35" i="3"/>
  <c r="CA35" i="3"/>
  <c r="BZ35" i="3"/>
  <c r="BN35" i="3"/>
  <c r="BM35" i="3"/>
  <c r="BL35" i="3"/>
  <c r="AZ35" i="3"/>
  <c r="AY35" i="3"/>
  <c r="AX35" i="3"/>
  <c r="AL35" i="3"/>
  <c r="AK35" i="3"/>
  <c r="AJ35" i="3"/>
  <c r="X35" i="3"/>
  <c r="W35" i="3"/>
  <c r="V35" i="3"/>
  <c r="J35" i="3"/>
  <c r="I35" i="3"/>
  <c r="H35" i="3"/>
  <c r="CP34" i="3"/>
  <c r="CO34" i="3"/>
  <c r="CN34" i="3"/>
  <c r="CB34" i="3"/>
  <c r="CA34" i="3"/>
  <c r="BZ34" i="3"/>
  <c r="BN34" i="3"/>
  <c r="BM34" i="3"/>
  <c r="BL34" i="3"/>
  <c r="AZ34" i="3"/>
  <c r="AY34" i="3"/>
  <c r="AX34" i="3"/>
  <c r="AL34" i="3"/>
  <c r="AK34" i="3"/>
  <c r="AJ34" i="3"/>
  <c r="X34" i="3"/>
  <c r="W34" i="3"/>
  <c r="V34" i="3"/>
  <c r="J34" i="3"/>
  <c r="I34" i="3"/>
  <c r="H34" i="3"/>
  <c r="CP33" i="3"/>
  <c r="CO33" i="3"/>
  <c r="CN33" i="3"/>
  <c r="CB33" i="3"/>
  <c r="CA33" i="3"/>
  <c r="BZ33" i="3"/>
  <c r="BN33" i="3"/>
  <c r="BM33" i="3"/>
  <c r="BL33" i="3"/>
  <c r="AZ33" i="3"/>
  <c r="AY33" i="3"/>
  <c r="AX33" i="3"/>
  <c r="AL33" i="3"/>
  <c r="AK33" i="3"/>
  <c r="AJ33" i="3"/>
  <c r="X33" i="3"/>
  <c r="W33" i="3"/>
  <c r="V33" i="3"/>
  <c r="J33" i="3"/>
  <c r="I33" i="3"/>
  <c r="H33" i="3"/>
  <c r="CP32" i="3"/>
  <c r="CO32" i="3"/>
  <c r="CN32" i="3"/>
  <c r="CB32" i="3"/>
  <c r="CA32" i="3"/>
  <c r="BZ32" i="3"/>
  <c r="BN32" i="3"/>
  <c r="BM32" i="3"/>
  <c r="BL32" i="3"/>
  <c r="AZ32" i="3"/>
  <c r="AY32" i="3"/>
  <c r="AX32" i="3"/>
  <c r="AL32" i="3"/>
  <c r="AK32" i="3"/>
  <c r="AJ32" i="3"/>
  <c r="X32" i="3"/>
  <c r="W32" i="3"/>
  <c r="V32" i="3"/>
  <c r="J32" i="3"/>
  <c r="I32" i="3"/>
  <c r="H32" i="3"/>
  <c r="CP31" i="3"/>
  <c r="CO31" i="3"/>
  <c r="CN31" i="3"/>
  <c r="CB31" i="3"/>
  <c r="CA31" i="3"/>
  <c r="BZ31" i="3"/>
  <c r="BN31" i="3"/>
  <c r="BM31" i="3"/>
  <c r="BL31" i="3"/>
  <c r="AZ31" i="3"/>
  <c r="AY31" i="3"/>
  <c r="AX31" i="3"/>
  <c r="AL31" i="3"/>
  <c r="AK31" i="3"/>
  <c r="AJ31" i="3"/>
  <c r="X31" i="3"/>
  <c r="W31" i="3"/>
  <c r="V31" i="3"/>
  <c r="J31" i="3"/>
  <c r="I31" i="3"/>
  <c r="H31" i="3"/>
  <c r="CP30" i="3"/>
  <c r="CO30" i="3"/>
  <c r="CN30" i="3"/>
  <c r="CB30" i="3"/>
  <c r="CA30" i="3"/>
  <c r="BZ30" i="3"/>
  <c r="BN30" i="3"/>
  <c r="BM30" i="3"/>
  <c r="BL30" i="3"/>
  <c r="AZ30" i="3"/>
  <c r="AY30" i="3"/>
  <c r="AX30" i="3"/>
  <c r="AL30" i="3"/>
  <c r="AK30" i="3"/>
  <c r="AJ30" i="3"/>
  <c r="X30" i="3"/>
  <c r="W30" i="3"/>
  <c r="V30" i="3"/>
  <c r="J30" i="3"/>
  <c r="I30" i="3"/>
  <c r="H30" i="3"/>
  <c r="CP29" i="3"/>
  <c r="CO29" i="3"/>
  <c r="CN29" i="3"/>
  <c r="CB29" i="3"/>
  <c r="CA29" i="3"/>
  <c r="BZ29" i="3"/>
  <c r="BN29" i="3"/>
  <c r="BM29" i="3"/>
  <c r="BL29" i="3"/>
  <c r="AZ29" i="3"/>
  <c r="AY29" i="3"/>
  <c r="AX29" i="3"/>
  <c r="AL29" i="3"/>
  <c r="AK29" i="3"/>
  <c r="AJ29" i="3"/>
  <c r="X29" i="3"/>
  <c r="W29" i="3"/>
  <c r="V29" i="3"/>
  <c r="J29" i="3"/>
  <c r="I29" i="3"/>
  <c r="H29" i="3"/>
  <c r="CP28" i="3"/>
  <c r="CO28" i="3"/>
  <c r="CN28" i="3"/>
  <c r="CB28" i="3"/>
  <c r="CA28" i="3"/>
  <c r="BZ28" i="3"/>
  <c r="BN28" i="3"/>
  <c r="BM28" i="3"/>
  <c r="BL28" i="3"/>
  <c r="AZ28" i="3"/>
  <c r="AY28" i="3"/>
  <c r="AX28" i="3"/>
  <c r="AL28" i="3"/>
  <c r="AK28" i="3"/>
  <c r="AJ28" i="3"/>
  <c r="X28" i="3"/>
  <c r="W28" i="3"/>
  <c r="V28" i="3"/>
  <c r="J28" i="3"/>
  <c r="I28" i="3"/>
  <c r="H28" i="3"/>
  <c r="CP27" i="3"/>
  <c r="CO27" i="3"/>
  <c r="CN27" i="3"/>
  <c r="CB27" i="3"/>
  <c r="CA27" i="3"/>
  <c r="BZ27" i="3"/>
  <c r="BN27" i="3"/>
  <c r="BM27" i="3"/>
  <c r="BL27" i="3"/>
  <c r="AZ27" i="3"/>
  <c r="AY27" i="3"/>
  <c r="AX27" i="3"/>
  <c r="AL27" i="3"/>
  <c r="AK27" i="3"/>
  <c r="AJ27" i="3"/>
  <c r="X27" i="3"/>
  <c r="W27" i="3"/>
  <c r="V27" i="3"/>
  <c r="J27" i="3"/>
  <c r="I27" i="3"/>
  <c r="H27" i="3"/>
  <c r="CP26" i="3"/>
  <c r="CO26" i="3"/>
  <c r="CN26" i="3"/>
  <c r="CB26" i="3"/>
  <c r="CA26" i="3"/>
  <c r="BZ26" i="3"/>
  <c r="BN26" i="3"/>
  <c r="BM26" i="3"/>
  <c r="BL26" i="3"/>
  <c r="AZ26" i="3"/>
  <c r="AY26" i="3"/>
  <c r="AX26" i="3"/>
  <c r="AL26" i="3"/>
  <c r="AK26" i="3"/>
  <c r="AJ26" i="3"/>
  <c r="X26" i="3"/>
  <c r="W26" i="3"/>
  <c r="V26" i="3"/>
  <c r="J26" i="3"/>
  <c r="I26" i="3"/>
  <c r="H26" i="3"/>
  <c r="CP25" i="3"/>
  <c r="CO25" i="3"/>
  <c r="CN25" i="3"/>
  <c r="CB25" i="3"/>
  <c r="CA25" i="3"/>
  <c r="BZ25" i="3"/>
  <c r="BN25" i="3"/>
  <c r="BM25" i="3"/>
  <c r="BL25" i="3"/>
  <c r="AZ25" i="3"/>
  <c r="AY25" i="3"/>
  <c r="AX25" i="3"/>
  <c r="AS25" i="3"/>
  <c r="AL25" i="3"/>
  <c r="AK25" i="3"/>
  <c r="AJ25" i="3"/>
  <c r="X25" i="3"/>
  <c r="W25" i="3"/>
  <c r="V25" i="3"/>
  <c r="J25" i="3"/>
  <c r="I25" i="3"/>
  <c r="H25" i="3"/>
  <c r="CP24" i="3"/>
  <c r="CO24" i="3"/>
  <c r="CN24" i="3"/>
  <c r="CB24" i="3"/>
  <c r="CA24" i="3"/>
  <c r="BZ24" i="3"/>
  <c r="BN24" i="3"/>
  <c r="BM24" i="3"/>
  <c r="BL24" i="3"/>
  <c r="AZ24" i="3"/>
  <c r="AY24" i="3"/>
  <c r="AX24" i="3"/>
  <c r="AL24" i="3"/>
  <c r="AK24" i="3"/>
  <c r="AJ24" i="3"/>
  <c r="X24" i="3"/>
  <c r="W24" i="3"/>
  <c r="V24" i="3"/>
  <c r="J24" i="3"/>
  <c r="I24" i="3"/>
  <c r="H24" i="3"/>
  <c r="CP23" i="3"/>
  <c r="CO23" i="3"/>
  <c r="CN23" i="3"/>
  <c r="CB23" i="3"/>
  <c r="CA23" i="3"/>
  <c r="BZ23" i="3"/>
  <c r="BN23" i="3"/>
  <c r="BM23" i="3"/>
  <c r="BL23" i="3"/>
  <c r="AZ23" i="3"/>
  <c r="AY23" i="3"/>
  <c r="AX23" i="3"/>
  <c r="AL23" i="3"/>
  <c r="AK23" i="3"/>
  <c r="AJ23" i="3"/>
  <c r="X23" i="3"/>
  <c r="W23" i="3"/>
  <c r="V23" i="3"/>
  <c r="J23" i="3"/>
  <c r="I23" i="3"/>
  <c r="H23" i="3"/>
  <c r="CP22" i="3"/>
  <c r="CO22" i="3"/>
  <c r="CN22" i="3"/>
  <c r="CB22" i="3"/>
  <c r="CA22" i="3"/>
  <c r="BZ22" i="3"/>
  <c r="BN22" i="3"/>
  <c r="BM22" i="3"/>
  <c r="BL22" i="3"/>
  <c r="AZ22" i="3"/>
  <c r="AY22" i="3"/>
  <c r="AX22" i="3"/>
  <c r="AL22" i="3"/>
  <c r="AK22" i="3"/>
  <c r="AJ22" i="3"/>
  <c r="X22" i="3"/>
  <c r="W22" i="3"/>
  <c r="V22" i="3"/>
  <c r="J22" i="3"/>
  <c r="I22" i="3"/>
  <c r="H22" i="3"/>
  <c r="CP21" i="3"/>
  <c r="CO21" i="3"/>
  <c r="CN21" i="3"/>
  <c r="CB21" i="3"/>
  <c r="CA21" i="3"/>
  <c r="BZ21" i="3"/>
  <c r="BN21" i="3"/>
  <c r="BM21" i="3"/>
  <c r="BL21" i="3"/>
  <c r="AZ21" i="3"/>
  <c r="AY21" i="3"/>
  <c r="AX21" i="3"/>
  <c r="AL21" i="3"/>
  <c r="AK21" i="3"/>
  <c r="AJ21" i="3"/>
  <c r="X21" i="3"/>
  <c r="W21" i="3"/>
  <c r="V21" i="3"/>
  <c r="J21" i="3"/>
  <c r="I21" i="3"/>
  <c r="H21" i="3"/>
  <c r="CP20" i="3"/>
  <c r="CO20" i="3"/>
  <c r="CN20" i="3"/>
  <c r="CB20" i="3"/>
  <c r="CA20" i="3"/>
  <c r="BZ20" i="3"/>
  <c r="BN20" i="3"/>
  <c r="BM20" i="3"/>
  <c r="BL20" i="3"/>
  <c r="AZ20" i="3"/>
  <c r="AY20" i="3"/>
  <c r="AX20" i="3"/>
  <c r="AL20" i="3"/>
  <c r="AK20" i="3"/>
  <c r="AJ20" i="3"/>
  <c r="X20" i="3"/>
  <c r="W20" i="3"/>
  <c r="V20" i="3"/>
  <c r="J20" i="3"/>
  <c r="I20" i="3"/>
  <c r="H20" i="3"/>
  <c r="CP19" i="3"/>
  <c r="CO19" i="3"/>
  <c r="CN19" i="3"/>
  <c r="CB19" i="3"/>
  <c r="CA19" i="3"/>
  <c r="BZ19" i="3"/>
  <c r="BN19" i="3"/>
  <c r="BM19" i="3"/>
  <c r="BL19" i="3"/>
  <c r="AZ19" i="3"/>
  <c r="AY19" i="3"/>
  <c r="AX19" i="3"/>
  <c r="AL19" i="3"/>
  <c r="AK19" i="3"/>
  <c r="AJ19" i="3"/>
  <c r="X19" i="3"/>
  <c r="W19" i="3"/>
  <c r="V19" i="3"/>
  <c r="J19" i="3"/>
  <c r="I19" i="3"/>
  <c r="H19" i="3"/>
  <c r="CP18" i="3"/>
  <c r="CO18" i="3"/>
  <c r="CN18" i="3"/>
  <c r="CB18" i="3"/>
  <c r="CA18" i="3"/>
  <c r="BZ18" i="3"/>
  <c r="BN18" i="3"/>
  <c r="BM18" i="3"/>
  <c r="BL18" i="3"/>
  <c r="AZ18" i="3"/>
  <c r="AY18" i="3"/>
  <c r="AX18" i="3"/>
  <c r="AL18" i="3"/>
  <c r="AK18" i="3"/>
  <c r="AJ18" i="3"/>
  <c r="X18" i="3"/>
  <c r="W18" i="3"/>
  <c r="V18" i="3"/>
  <c r="J18" i="3"/>
  <c r="I18" i="3"/>
  <c r="H18" i="3"/>
  <c r="CP17" i="3"/>
  <c r="CO17" i="3"/>
  <c r="CN17" i="3"/>
  <c r="CB17" i="3"/>
  <c r="CA17" i="3"/>
  <c r="BZ17" i="3"/>
  <c r="BN17" i="3"/>
  <c r="BM17" i="3"/>
  <c r="BL17" i="3"/>
  <c r="AZ17" i="3"/>
  <c r="AY17" i="3"/>
  <c r="AX17" i="3"/>
  <c r="AL17" i="3"/>
  <c r="AK17" i="3"/>
  <c r="AJ17" i="3"/>
  <c r="X17" i="3"/>
  <c r="W17" i="3"/>
  <c r="V17" i="3"/>
  <c r="J17" i="3"/>
  <c r="I17" i="3"/>
  <c r="H17" i="3"/>
  <c r="CP16" i="3"/>
  <c r="CO16" i="3"/>
  <c r="CN16" i="3"/>
  <c r="CB16" i="3"/>
  <c r="CA16" i="3"/>
  <c r="BZ16" i="3"/>
  <c r="BN16" i="3"/>
  <c r="BM16" i="3"/>
  <c r="BL16" i="3"/>
  <c r="AZ16" i="3"/>
  <c r="AY16" i="3"/>
  <c r="AX16" i="3"/>
  <c r="AL16" i="3"/>
  <c r="AK16" i="3"/>
  <c r="AJ16" i="3"/>
  <c r="X16" i="3"/>
  <c r="W16" i="3"/>
  <c r="V16" i="3"/>
  <c r="J16" i="3"/>
  <c r="I16" i="3"/>
  <c r="H16" i="3"/>
  <c r="CP15" i="3"/>
  <c r="CO15" i="3"/>
  <c r="CN15" i="3"/>
  <c r="CB15" i="3"/>
  <c r="CA15" i="3"/>
  <c r="BZ15" i="3"/>
  <c r="BN15" i="3"/>
  <c r="BM15" i="3"/>
  <c r="BL15" i="3"/>
  <c r="AZ15" i="3"/>
  <c r="AY15" i="3"/>
  <c r="AX15" i="3"/>
  <c r="AL15" i="3"/>
  <c r="AK15" i="3"/>
  <c r="AJ15" i="3"/>
  <c r="X15" i="3"/>
  <c r="W15" i="3"/>
  <c r="V15" i="3"/>
  <c r="J15" i="3"/>
  <c r="I15" i="3"/>
  <c r="H15" i="3"/>
  <c r="CP14" i="3"/>
  <c r="CO14" i="3"/>
  <c r="CN14" i="3"/>
  <c r="CB14" i="3"/>
  <c r="CA14" i="3"/>
  <c r="BZ14" i="3"/>
  <c r="BN14" i="3"/>
  <c r="BM14" i="3"/>
  <c r="BL14" i="3"/>
  <c r="AZ14" i="3"/>
  <c r="AY14" i="3"/>
  <c r="AX14" i="3"/>
  <c r="AL14" i="3"/>
  <c r="AK14" i="3"/>
  <c r="AJ14" i="3"/>
  <c r="X14" i="3"/>
  <c r="W14" i="3"/>
  <c r="V14" i="3"/>
  <c r="J14" i="3"/>
  <c r="I14" i="3"/>
  <c r="H14" i="3"/>
  <c r="CS13" i="3"/>
  <c r="CR13" i="3"/>
  <c r="CQ13" i="3"/>
  <c r="CP13" i="3"/>
  <c r="CO13" i="3"/>
  <c r="CN13" i="3"/>
  <c r="CE13" i="3"/>
  <c r="CD13" i="3"/>
  <c r="CC13" i="3"/>
  <c r="CB13" i="3"/>
  <c r="CA13" i="3"/>
  <c r="BZ13" i="3"/>
  <c r="BQ13" i="3"/>
  <c r="BP13" i="3"/>
  <c r="BO13" i="3"/>
  <c r="BN13" i="3"/>
  <c r="BM13" i="3"/>
  <c r="BL13" i="3"/>
  <c r="BC13" i="3"/>
  <c r="BB13" i="3"/>
  <c r="BA13" i="3"/>
  <c r="AZ13" i="3"/>
  <c r="AY13" i="3"/>
  <c r="AX13" i="3"/>
  <c r="AO13" i="3"/>
  <c r="AN13" i="3"/>
  <c r="AM13" i="3"/>
  <c r="AL13" i="3"/>
  <c r="AK13" i="3"/>
  <c r="AJ13" i="3"/>
  <c r="AA13" i="3"/>
  <c r="Z13" i="3"/>
  <c r="Y13" i="3"/>
  <c r="X13" i="3"/>
  <c r="W13" i="3"/>
  <c r="V13" i="3"/>
  <c r="M13" i="3"/>
  <c r="L13" i="3"/>
  <c r="K13" i="3"/>
  <c r="J13" i="3"/>
  <c r="I13" i="3"/>
  <c r="H13" i="3"/>
  <c r="CP12" i="3"/>
  <c r="CO12" i="3"/>
  <c r="CN12" i="3"/>
  <c r="CB12" i="3"/>
  <c r="CA12" i="3"/>
  <c r="BZ12" i="3"/>
  <c r="BN12" i="3"/>
  <c r="BM12" i="3"/>
  <c r="BL12" i="3"/>
  <c r="AZ12" i="3"/>
  <c r="AY12" i="3"/>
  <c r="AX12" i="3"/>
  <c r="AL12" i="3"/>
  <c r="AK12" i="3"/>
  <c r="AJ12" i="3"/>
  <c r="X12" i="3"/>
  <c r="W12" i="3"/>
  <c r="V12" i="3"/>
  <c r="J12" i="3"/>
  <c r="I12" i="3"/>
  <c r="H12" i="3"/>
  <c r="CS11" i="3"/>
  <c r="CR11" i="3"/>
  <c r="CQ11" i="3"/>
  <c r="CP11" i="3"/>
  <c r="CO11" i="3"/>
  <c r="CN11" i="3"/>
  <c r="CE11" i="3"/>
  <c r="CD11" i="3"/>
  <c r="CC11" i="3"/>
  <c r="CB11" i="3"/>
  <c r="CA11" i="3"/>
  <c r="BZ11" i="3"/>
  <c r="BQ11" i="3"/>
  <c r="BP11" i="3"/>
  <c r="BO11" i="3"/>
  <c r="BN11" i="3"/>
  <c r="BM11" i="3"/>
  <c r="BL11" i="3"/>
  <c r="BC11" i="3"/>
  <c r="BB11" i="3"/>
  <c r="BA11" i="3"/>
  <c r="AZ11" i="3"/>
  <c r="AY11" i="3"/>
  <c r="AX11" i="3"/>
  <c r="AO11" i="3"/>
  <c r="AN11" i="3"/>
  <c r="AM11" i="3"/>
  <c r="AL11" i="3"/>
  <c r="AK11" i="3"/>
  <c r="AJ11" i="3"/>
  <c r="AA11" i="3"/>
  <c r="Z11" i="3"/>
  <c r="Y11" i="3"/>
  <c r="X11" i="3"/>
  <c r="W11" i="3"/>
  <c r="V11" i="3"/>
  <c r="M11" i="3"/>
  <c r="L11" i="3"/>
  <c r="K11" i="3"/>
  <c r="J11" i="3"/>
  <c r="I11" i="3"/>
  <c r="H11" i="3"/>
  <c r="CP10" i="3"/>
  <c r="CO10" i="3"/>
  <c r="CN10" i="3"/>
  <c r="CB10" i="3"/>
  <c r="CA10" i="3"/>
  <c r="BZ10" i="3"/>
  <c r="BN10" i="3"/>
  <c r="BM10" i="3"/>
  <c r="BL10" i="3"/>
  <c r="AZ10" i="3"/>
  <c r="AY10" i="3"/>
  <c r="AX10" i="3"/>
  <c r="AL10" i="3"/>
  <c r="AK10" i="3"/>
  <c r="AJ10" i="3"/>
  <c r="X10" i="3"/>
  <c r="W10" i="3"/>
  <c r="V10" i="3"/>
  <c r="J10" i="3"/>
  <c r="I10" i="3"/>
  <c r="H10" i="3"/>
  <c r="CS9" i="3"/>
  <c r="CR9" i="3"/>
  <c r="CQ9" i="3"/>
  <c r="CP9" i="3"/>
  <c r="CO9" i="3"/>
  <c r="CN9" i="3"/>
  <c r="CE9" i="3"/>
  <c r="CD9" i="3"/>
  <c r="CC9" i="3"/>
  <c r="CB9" i="3"/>
  <c r="CA9" i="3"/>
  <c r="BZ9" i="3"/>
  <c r="BQ9" i="3"/>
  <c r="BP9" i="3"/>
  <c r="BO9" i="3"/>
  <c r="BN9" i="3"/>
  <c r="BM9" i="3"/>
  <c r="BL9" i="3"/>
  <c r="BC9" i="3"/>
  <c r="BB9" i="3"/>
  <c r="BA9" i="3"/>
  <c r="AZ9" i="3"/>
  <c r="AY9" i="3"/>
  <c r="AX9" i="3"/>
  <c r="AO9" i="3"/>
  <c r="AN9" i="3"/>
  <c r="AM9" i="3"/>
  <c r="AL9" i="3"/>
  <c r="AK9" i="3"/>
  <c r="AJ9" i="3"/>
  <c r="AA9" i="3"/>
  <c r="Z9" i="3"/>
  <c r="Y9" i="3"/>
  <c r="X9" i="3"/>
  <c r="W9" i="3"/>
  <c r="V9" i="3"/>
  <c r="M9" i="3"/>
  <c r="L9" i="3"/>
  <c r="K9" i="3"/>
  <c r="J9" i="3"/>
  <c r="I9" i="3"/>
  <c r="H9" i="3"/>
  <c r="CP8" i="3"/>
  <c r="CO8" i="3"/>
  <c r="CN8" i="3"/>
  <c r="CB8" i="3"/>
  <c r="CA8" i="3"/>
  <c r="BZ8" i="3"/>
  <c r="BN8" i="3"/>
  <c r="BM8" i="3"/>
  <c r="BL8" i="3"/>
  <c r="AZ8" i="3"/>
  <c r="AY8" i="3"/>
  <c r="AX8" i="3"/>
  <c r="AL8" i="3"/>
  <c r="AK8" i="3"/>
  <c r="AJ8" i="3"/>
  <c r="X8" i="3"/>
  <c r="W8" i="3"/>
  <c r="V8" i="3"/>
  <c r="J8" i="3"/>
  <c r="I8" i="3"/>
  <c r="H8" i="3"/>
  <c r="CS7" i="3"/>
  <c r="CR7" i="3"/>
  <c r="CQ7" i="3"/>
  <c r="CP7" i="3"/>
  <c r="CO7" i="3"/>
  <c r="CN7" i="3"/>
  <c r="CM7" i="3"/>
  <c r="CE7" i="3"/>
  <c r="CD7" i="3"/>
  <c r="CC7" i="3"/>
  <c r="CB7" i="3"/>
  <c r="CA7" i="3"/>
  <c r="BZ7" i="3"/>
  <c r="BY7" i="3"/>
  <c r="BQ7" i="3"/>
  <c r="BP7" i="3"/>
  <c r="BO7" i="3"/>
  <c r="BN7" i="3"/>
  <c r="BM7" i="3"/>
  <c r="BL7" i="3"/>
  <c r="BK7" i="3"/>
  <c r="BC7" i="3"/>
  <c r="BB7" i="3"/>
  <c r="BA7" i="3"/>
  <c r="AZ7" i="3"/>
  <c r="AY7" i="3"/>
  <c r="AX7" i="3"/>
  <c r="AW7" i="3"/>
  <c r="AO7" i="3"/>
  <c r="AN7" i="3"/>
  <c r="AM7" i="3"/>
  <c r="AL7" i="3"/>
  <c r="AK7" i="3"/>
  <c r="AJ7" i="3"/>
  <c r="AI7" i="3"/>
  <c r="AA7" i="3"/>
  <c r="Z7" i="3"/>
  <c r="Y7" i="3"/>
  <c r="X7" i="3"/>
  <c r="W7" i="3"/>
  <c r="V7" i="3"/>
  <c r="U7" i="3"/>
  <c r="M7" i="3"/>
  <c r="L7" i="3"/>
  <c r="K7" i="3"/>
  <c r="J7" i="3"/>
  <c r="I7" i="3"/>
  <c r="H7" i="3"/>
  <c r="G7" i="3"/>
  <c r="CP6" i="3"/>
  <c r="CO6" i="3"/>
  <c r="CN6" i="3"/>
  <c r="CM6" i="3"/>
  <c r="CB6" i="3"/>
  <c r="CA6" i="3"/>
  <c r="BZ6" i="3"/>
  <c r="BY6" i="3"/>
  <c r="BN6" i="3"/>
  <c r="BM6" i="3"/>
  <c r="BL6" i="3"/>
  <c r="BK6" i="3"/>
  <c r="AZ6" i="3"/>
  <c r="AY6" i="3"/>
  <c r="AX6" i="3"/>
  <c r="AW6" i="3"/>
  <c r="AL6" i="3"/>
  <c r="AK6" i="3"/>
  <c r="AJ6" i="3"/>
  <c r="AI6" i="3"/>
  <c r="X6" i="3"/>
  <c r="W6" i="3"/>
  <c r="V6" i="3"/>
  <c r="U6" i="3"/>
  <c r="J6" i="3"/>
  <c r="I6" i="3"/>
  <c r="H6" i="3"/>
  <c r="G6" i="3"/>
  <c r="CS5" i="3"/>
  <c r="CR5" i="3"/>
  <c r="CQ5" i="3"/>
  <c r="CP5" i="3"/>
  <c r="CO5" i="3"/>
  <c r="CN5" i="3"/>
  <c r="CM5" i="3"/>
  <c r="CE5" i="3"/>
  <c r="CD5" i="3"/>
  <c r="CC5" i="3"/>
  <c r="CB5" i="3"/>
  <c r="CA5" i="3"/>
  <c r="BZ5" i="3"/>
  <c r="BY5" i="3"/>
  <c r="BQ5" i="3"/>
  <c r="BP5" i="3"/>
  <c r="BO5" i="3"/>
  <c r="BN5" i="3"/>
  <c r="BM5" i="3"/>
  <c r="BL5" i="3"/>
  <c r="BK5" i="3"/>
  <c r="BC5" i="3"/>
  <c r="BB5" i="3"/>
  <c r="BA5" i="3"/>
  <c r="AZ5" i="3"/>
  <c r="AY5" i="3"/>
  <c r="AX5" i="3"/>
  <c r="AW5" i="3"/>
  <c r="AO5" i="3"/>
  <c r="AN5" i="3"/>
  <c r="AM5" i="3"/>
  <c r="AL5" i="3"/>
  <c r="AK5" i="3"/>
  <c r="AJ5" i="3"/>
  <c r="AI5" i="3"/>
  <c r="AA5" i="3"/>
  <c r="Z5" i="3"/>
  <c r="Y5" i="3"/>
  <c r="X5" i="3"/>
  <c r="W5" i="3"/>
  <c r="V5" i="3"/>
  <c r="U5" i="3"/>
  <c r="M5" i="3"/>
  <c r="L5" i="3"/>
  <c r="K5" i="3"/>
  <c r="J5" i="3"/>
  <c r="I5" i="3"/>
  <c r="H5" i="3"/>
  <c r="G5" i="3"/>
  <c r="CP4" i="3"/>
  <c r="CO4" i="3"/>
  <c r="CN4" i="3"/>
  <c r="CM4" i="3"/>
  <c r="CB4" i="3"/>
  <c r="CA4" i="3"/>
  <c r="BZ4" i="3"/>
  <c r="BY4" i="3"/>
  <c r="BN4" i="3"/>
  <c r="BM4" i="3"/>
  <c r="BL4" i="3"/>
  <c r="BK4" i="3"/>
  <c r="AZ4" i="3"/>
  <c r="AY4" i="3"/>
  <c r="AX4" i="3"/>
  <c r="AW4" i="3"/>
  <c r="AL4" i="3"/>
  <c r="AK4" i="3"/>
  <c r="AJ4" i="3"/>
  <c r="AI4" i="3"/>
  <c r="X4" i="3"/>
  <c r="W4" i="3"/>
  <c r="V4" i="3"/>
  <c r="U4" i="3"/>
  <c r="J4" i="3"/>
  <c r="I4" i="3"/>
  <c r="H4" i="3"/>
  <c r="G4" i="3"/>
  <c r="CU3" i="3"/>
  <c r="CS3" i="3"/>
  <c r="CR3" i="3"/>
  <c r="CQ3" i="3"/>
  <c r="CP3" i="3"/>
  <c r="CO3" i="3"/>
  <c r="CN3" i="3"/>
  <c r="CM3" i="3"/>
  <c r="CE3" i="3"/>
  <c r="CD3" i="3"/>
  <c r="CC3" i="3"/>
  <c r="CB3" i="3"/>
  <c r="CA3" i="3"/>
  <c r="BZ3" i="3"/>
  <c r="BY3" i="3"/>
  <c r="BQ3" i="3"/>
  <c r="BP3" i="3"/>
  <c r="BO3" i="3"/>
  <c r="BN3" i="3"/>
  <c r="BM3" i="3"/>
  <c r="BL3" i="3"/>
  <c r="BK3" i="3"/>
  <c r="BC3" i="3"/>
  <c r="BB3" i="3"/>
  <c r="BA3" i="3"/>
  <c r="AZ3" i="3"/>
  <c r="AY3" i="3"/>
  <c r="AX3" i="3"/>
  <c r="AW3" i="3"/>
  <c r="AO3" i="3"/>
  <c r="AN3" i="3"/>
  <c r="AM3" i="3"/>
  <c r="AL3" i="3"/>
  <c r="AK3" i="3"/>
  <c r="AJ3" i="3"/>
  <c r="AI3" i="3"/>
  <c r="AA3" i="3"/>
  <c r="Z3" i="3"/>
  <c r="Y3" i="3"/>
  <c r="X3" i="3"/>
  <c r="W3" i="3"/>
  <c r="V3" i="3"/>
  <c r="U3" i="3"/>
  <c r="M3" i="3"/>
  <c r="L3" i="3"/>
  <c r="K3" i="3"/>
  <c r="J3" i="3"/>
  <c r="I3" i="3"/>
  <c r="H3" i="3"/>
  <c r="G3" i="3"/>
  <c r="E49" i="4"/>
  <c r="D49" i="4"/>
  <c r="C49" i="4"/>
  <c r="T47" i="4"/>
  <c r="N47" i="4"/>
  <c r="H47" i="4"/>
  <c r="B47" i="4"/>
  <c r="W46" i="4"/>
  <c r="V46" i="4"/>
  <c r="U46" i="4"/>
  <c r="Q46" i="4"/>
  <c r="P46" i="4"/>
  <c r="O46" i="4"/>
  <c r="K46" i="4"/>
  <c r="J46" i="4"/>
  <c r="I46" i="4"/>
  <c r="T45" i="4"/>
  <c r="N45" i="4"/>
  <c r="E44" i="4"/>
  <c r="D44" i="4"/>
  <c r="C44" i="4"/>
  <c r="T42" i="4"/>
  <c r="N42" i="4"/>
  <c r="H42" i="4"/>
  <c r="B42" i="4"/>
  <c r="T40" i="4"/>
  <c r="N40" i="4"/>
  <c r="E39" i="4"/>
  <c r="D39" i="4"/>
  <c r="C39" i="4"/>
  <c r="T37" i="4"/>
  <c r="N37" i="4"/>
  <c r="H37" i="4"/>
  <c r="B37" i="4"/>
  <c r="T35" i="4"/>
  <c r="N35" i="4"/>
  <c r="E34" i="4"/>
  <c r="D34" i="4"/>
  <c r="C34" i="4"/>
  <c r="T32" i="4"/>
  <c r="N32" i="4"/>
  <c r="H32" i="4"/>
  <c r="B32" i="4"/>
  <c r="T30" i="4"/>
  <c r="N30" i="4"/>
  <c r="E29" i="4"/>
  <c r="D29" i="4"/>
  <c r="C29" i="4"/>
  <c r="T27" i="4"/>
  <c r="N27" i="4"/>
  <c r="H27" i="4"/>
  <c r="B27" i="4"/>
  <c r="T25" i="4"/>
  <c r="N25" i="4"/>
  <c r="E24" i="4"/>
  <c r="D24" i="4"/>
  <c r="C24" i="4"/>
  <c r="T22" i="4"/>
  <c r="N22" i="4"/>
  <c r="H22" i="4"/>
  <c r="B22" i="4"/>
  <c r="T20" i="4"/>
  <c r="N20" i="4"/>
  <c r="E19" i="4"/>
  <c r="D19" i="4"/>
  <c r="C19" i="4"/>
  <c r="T17" i="4"/>
  <c r="N17" i="4"/>
  <c r="H17" i="4"/>
  <c r="B17" i="4"/>
  <c r="T15" i="4"/>
  <c r="N15" i="4"/>
  <c r="E14" i="4"/>
  <c r="D14" i="4"/>
  <c r="C14" i="4"/>
  <c r="T12" i="4"/>
  <c r="N12" i="4"/>
  <c r="H12" i="4"/>
  <c r="B12" i="4"/>
  <c r="T10" i="4"/>
  <c r="N10" i="4"/>
  <c r="E9" i="4"/>
  <c r="D9" i="4"/>
  <c r="C9" i="4"/>
  <c r="Y8" i="4"/>
  <c r="T7" i="4"/>
  <c r="N7" i="4"/>
  <c r="H7" i="4"/>
  <c r="B7" i="4"/>
  <c r="T5" i="4"/>
  <c r="N5" i="4"/>
  <c r="AD4" i="4"/>
  <c r="AC4" i="4"/>
  <c r="AB4" i="4"/>
  <c r="X4" i="4"/>
  <c r="W4" i="4"/>
  <c r="V4" i="4"/>
  <c r="R4" i="4"/>
  <c r="Q4" i="4"/>
  <c r="P4" i="4"/>
  <c r="L4" i="4"/>
  <c r="K4" i="4"/>
  <c r="J4" i="4"/>
  <c r="F4" i="4"/>
  <c r="E4" i="4"/>
  <c r="D4" i="4"/>
  <c r="AC3" i="4"/>
  <c r="AB3" i="4"/>
  <c r="X3" i="4"/>
  <c r="W3" i="4"/>
  <c r="V3" i="4"/>
  <c r="U3" i="4"/>
  <c r="R3" i="4"/>
  <c r="Q3" i="4"/>
  <c r="P3" i="4"/>
  <c r="O3" i="4"/>
  <c r="L3" i="4"/>
  <c r="K3" i="4"/>
  <c r="J3" i="4"/>
  <c r="I3" i="4"/>
  <c r="F3" i="4"/>
  <c r="E3" i="4"/>
  <c r="D3" i="4"/>
  <c r="C3" i="4"/>
  <c r="L9" i="7"/>
  <c r="D9" i="7"/>
  <c r="C9" i="7"/>
  <c r="L8" i="7"/>
  <c r="D8" i="7"/>
  <c r="C8" i="7"/>
  <c r="L7" i="7"/>
  <c r="D7" i="7"/>
  <c r="C7" i="7"/>
  <c r="L6" i="7"/>
  <c r="D6" i="7"/>
  <c r="C6" i="7"/>
  <c r="L5" i="7"/>
  <c r="D5" i="7"/>
  <c r="C5" i="7"/>
  <c r="L4" i="7"/>
  <c r="D4" i="7"/>
  <c r="C4" i="7"/>
  <c r="M3" i="7" a="1"/>
  <c r="M3" i="7"/>
  <c r="L3" i="7"/>
  <c r="J3" i="7" a="1"/>
  <c r="J3" i="7"/>
  <c r="G3" i="7" a="1"/>
  <c r="G3" i="7"/>
  <c r="D3" i="7"/>
  <c r="C3" i="7"/>
  <c r="R34" i="5"/>
  <c r="Q34" i="5"/>
  <c r="P34" i="5"/>
  <c r="O34" i="5"/>
  <c r="L34" i="5"/>
  <c r="K34" i="5"/>
  <c r="J34" i="5"/>
  <c r="I34" i="5"/>
  <c r="F34" i="5"/>
  <c r="E34" i="5"/>
  <c r="D34" i="5"/>
  <c r="C34" i="5"/>
  <c r="R33" i="5"/>
  <c r="Q33" i="5"/>
  <c r="P33" i="5"/>
  <c r="O33" i="5"/>
  <c r="L33" i="5"/>
  <c r="K33" i="5"/>
  <c r="J33" i="5"/>
  <c r="I33" i="5"/>
  <c r="F33" i="5"/>
  <c r="E33" i="5"/>
  <c r="D33" i="5"/>
  <c r="C33" i="5"/>
  <c r="R29" i="5"/>
  <c r="Q29" i="5"/>
  <c r="P29" i="5"/>
  <c r="O29" i="5"/>
  <c r="L29" i="5"/>
  <c r="K29" i="5"/>
  <c r="J29" i="5"/>
  <c r="I29" i="5"/>
  <c r="F29" i="5"/>
  <c r="E29" i="5"/>
  <c r="D29" i="5"/>
  <c r="C29" i="5"/>
  <c r="R28" i="5"/>
  <c r="Q28" i="5"/>
  <c r="P28" i="5"/>
  <c r="O28" i="5"/>
  <c r="L28" i="5"/>
  <c r="K28" i="5"/>
  <c r="J28" i="5"/>
  <c r="I28" i="5"/>
  <c r="F28" i="5"/>
  <c r="E28" i="5"/>
  <c r="D28" i="5"/>
  <c r="C28" i="5"/>
  <c r="R24" i="5"/>
  <c r="Q24" i="5"/>
  <c r="P24" i="5"/>
  <c r="O24" i="5"/>
  <c r="L24" i="5"/>
  <c r="K24" i="5"/>
  <c r="J24" i="5"/>
  <c r="I24" i="5"/>
  <c r="F24" i="5"/>
  <c r="E24" i="5"/>
  <c r="D24" i="5"/>
  <c r="C24" i="5"/>
  <c r="R23" i="5"/>
  <c r="Q23" i="5"/>
  <c r="P23" i="5"/>
  <c r="O23" i="5"/>
  <c r="L23" i="5"/>
  <c r="K23" i="5"/>
  <c r="J23" i="5"/>
  <c r="I23" i="5"/>
  <c r="F23" i="5"/>
  <c r="E23" i="5"/>
  <c r="D23" i="5"/>
  <c r="C23" i="5"/>
  <c r="W19" i="5"/>
  <c r="V19" i="5"/>
  <c r="U19" i="5"/>
  <c r="R19" i="5"/>
  <c r="Q19" i="5"/>
  <c r="P19" i="5"/>
  <c r="O19" i="5"/>
  <c r="L19" i="5"/>
  <c r="K19" i="5"/>
  <c r="J19" i="5"/>
  <c r="I19" i="5"/>
  <c r="F19" i="5"/>
  <c r="E19" i="5"/>
  <c r="D19" i="5"/>
  <c r="C19" i="5"/>
  <c r="W18" i="5"/>
  <c r="V18" i="5"/>
  <c r="U18" i="5"/>
  <c r="T18" i="5"/>
  <c r="R18" i="5"/>
  <c r="Q18" i="5"/>
  <c r="P18" i="5"/>
  <c r="O18" i="5"/>
  <c r="L18" i="5"/>
  <c r="K18" i="5"/>
  <c r="J18" i="5"/>
  <c r="I18" i="5"/>
  <c r="F18" i="5"/>
  <c r="E18" i="5"/>
  <c r="D18" i="5"/>
  <c r="C18" i="5"/>
  <c r="W14" i="5"/>
  <c r="V14" i="5"/>
  <c r="U14" i="5"/>
  <c r="R14" i="5"/>
  <c r="Q14" i="5"/>
  <c r="P14" i="5"/>
  <c r="O14" i="5"/>
  <c r="L14" i="5"/>
  <c r="K14" i="5"/>
  <c r="J14" i="5"/>
  <c r="I14" i="5"/>
  <c r="F14" i="5"/>
  <c r="E14" i="5"/>
  <c r="D14" i="5"/>
  <c r="C14" i="5"/>
  <c r="W13" i="5"/>
  <c r="V13" i="5"/>
  <c r="U13" i="5"/>
  <c r="R13" i="5"/>
  <c r="Q13" i="5"/>
  <c r="P13" i="5"/>
  <c r="O13" i="5"/>
  <c r="L13" i="5"/>
  <c r="K13" i="5"/>
  <c r="J13" i="5"/>
  <c r="I13" i="5"/>
  <c r="F13" i="5"/>
  <c r="E13" i="5"/>
  <c r="D13" i="5"/>
  <c r="C13" i="5"/>
  <c r="W9" i="5"/>
  <c r="V9" i="5"/>
  <c r="U9" i="5"/>
  <c r="R9" i="5"/>
  <c r="Q9" i="5"/>
  <c r="P9" i="5"/>
  <c r="O9" i="5"/>
  <c r="L9" i="5"/>
  <c r="K9" i="5"/>
  <c r="J9" i="5"/>
  <c r="I9" i="5"/>
  <c r="F9" i="5"/>
  <c r="E9" i="5"/>
  <c r="D9" i="5"/>
  <c r="C9" i="5"/>
  <c r="W8" i="5"/>
  <c r="V8" i="5"/>
  <c r="U8" i="5"/>
  <c r="R8" i="5"/>
  <c r="Q8" i="5"/>
  <c r="P8" i="5"/>
  <c r="O8" i="5"/>
  <c r="L8" i="5"/>
  <c r="K8" i="5"/>
  <c r="J8" i="5"/>
  <c r="I8" i="5"/>
  <c r="F8" i="5"/>
  <c r="E8" i="5"/>
  <c r="D8" i="5"/>
  <c r="C8" i="5"/>
  <c r="W4" i="5"/>
  <c r="V4" i="5"/>
  <c r="U4" i="5"/>
  <c r="R4" i="5"/>
  <c r="Q4" i="5"/>
  <c r="P4" i="5"/>
  <c r="O4" i="5"/>
  <c r="L4" i="5"/>
  <c r="K4" i="5"/>
  <c r="J4" i="5"/>
  <c r="I4" i="5"/>
  <c r="F4" i="5"/>
  <c r="E4" i="5"/>
  <c r="D4" i="5"/>
  <c r="C4" i="5"/>
  <c r="W3" i="5"/>
  <c r="V3" i="5"/>
  <c r="U3" i="5"/>
  <c r="R3" i="5"/>
  <c r="Q3" i="5"/>
  <c r="P3" i="5"/>
  <c r="O3" i="5"/>
  <c r="L3" i="5"/>
  <c r="K3" i="5"/>
  <c r="J3" i="5"/>
  <c r="I3" i="5"/>
  <c r="F3" i="5"/>
  <c r="E3" i="5"/>
  <c r="D3" i="5"/>
  <c r="C3" i="5"/>
  <c r="P36" i="9"/>
  <c r="P35" i="9"/>
  <c r="P34" i="9"/>
  <c r="Q31" i="9"/>
  <c r="Q30" i="9"/>
  <c r="Q29" i="9"/>
  <c r="B25" i="9"/>
  <c r="K22" i="9"/>
  <c r="G22" i="9"/>
  <c r="F22" i="9"/>
  <c r="D22" i="9"/>
  <c r="C22" i="9"/>
  <c r="K19" i="9"/>
  <c r="J19" i="9"/>
  <c r="I19" i="9"/>
  <c r="H19" i="9"/>
  <c r="G19" i="9"/>
  <c r="F19" i="9"/>
  <c r="E19" i="9"/>
  <c r="E22" i="9" s="1"/>
  <c r="D19" i="9"/>
  <c r="C19" i="9"/>
  <c r="N18" i="9"/>
  <c r="L18" i="9"/>
  <c r="P17" i="9"/>
  <c r="N17" i="9"/>
  <c r="L17" i="9"/>
  <c r="N16" i="9"/>
  <c r="L16" i="9"/>
  <c r="P15" i="9"/>
  <c r="L15" i="9"/>
  <c r="Q14" i="9"/>
  <c r="L14" i="9"/>
  <c r="N14" i="9" s="1"/>
  <c r="N13" i="9"/>
  <c r="L13" i="9"/>
  <c r="N12" i="9"/>
  <c r="L12" i="9"/>
  <c r="L11" i="9"/>
  <c r="N11" i="9" s="1"/>
  <c r="W10" i="9"/>
  <c r="V10" i="9"/>
  <c r="U10" i="9"/>
  <c r="R10" i="9"/>
  <c r="Q10" i="9"/>
  <c r="L10" i="9"/>
  <c r="N10" i="9" s="1"/>
  <c r="W9" i="9"/>
  <c r="V9" i="9"/>
  <c r="U9" i="9"/>
  <c r="T9" i="9"/>
  <c r="S9" i="9"/>
  <c r="S10" i="9" s="1"/>
  <c r="R9" i="9"/>
  <c r="Q9" i="9"/>
  <c r="P9" i="9"/>
  <c r="P10" i="9" s="1"/>
  <c r="O9" i="9"/>
  <c r="O10" i="9" s="1"/>
  <c r="W7" i="9"/>
  <c r="V7" i="9"/>
  <c r="U7" i="9"/>
  <c r="T7" i="9"/>
  <c r="S7" i="9"/>
  <c r="R7" i="9"/>
  <c r="Q7" i="9"/>
  <c r="P7" i="9"/>
  <c r="O7" i="9"/>
  <c r="J7" i="9"/>
  <c r="I7" i="9"/>
  <c r="H7" i="9"/>
  <c r="G7" i="9"/>
  <c r="F7" i="9"/>
  <c r="E7" i="9"/>
  <c r="D7" i="9"/>
  <c r="C7" i="9"/>
  <c r="B7" i="9"/>
  <c r="X6" i="9"/>
  <c r="W6" i="9"/>
  <c r="V6" i="9"/>
  <c r="U6" i="9"/>
  <c r="T6" i="9"/>
  <c r="S6" i="9"/>
  <c r="R6" i="9"/>
  <c r="Q6" i="9"/>
  <c r="P6" i="9"/>
  <c r="O6" i="9"/>
  <c r="W4" i="9"/>
  <c r="V4" i="9"/>
  <c r="U4" i="9"/>
  <c r="T4" i="9"/>
  <c r="S4" i="9"/>
  <c r="R4" i="9"/>
  <c r="Q4" i="9"/>
  <c r="P4" i="9"/>
  <c r="O4" i="9"/>
  <c r="X3" i="9"/>
  <c r="J3" i="9"/>
  <c r="I3" i="9"/>
  <c r="H3" i="9"/>
  <c r="G3" i="9"/>
  <c r="F3" i="9"/>
  <c r="E3" i="9"/>
  <c r="D3" i="9"/>
  <c r="C3" i="9"/>
  <c r="B3" i="9"/>
  <c r="W1" i="9"/>
  <c r="V1" i="9"/>
  <c r="U1" i="9"/>
  <c r="T1" i="9"/>
  <c r="S1" i="9"/>
  <c r="R1" i="9"/>
  <c r="Q1" i="9"/>
  <c r="P1" i="9"/>
  <c r="O1" i="9"/>
  <c r="K3" i="9" l="1"/>
  <c r="M7" i="9"/>
  <c r="H22" i="9"/>
  <c r="N7" i="9"/>
  <c r="N8" i="9" s="1"/>
  <c r="T10" i="9"/>
  <c r="X9" i="9"/>
  <c r="Y9" i="9" s="1" a="1"/>
  <c r="Y9" i="9" s="1"/>
  <c r="L19" i="9"/>
  <c r="N15" i="9"/>
  <c r="M15" i="9"/>
  <c r="I22" i="9"/>
  <c r="L22" i="9" s="1"/>
  <c r="I20" i="9"/>
  <c r="J20" i="9"/>
  <c r="L5" i="9"/>
  <c r="K5" i="9"/>
  <c r="J5" i="9"/>
  <c r="I5" i="9"/>
  <c r="H5" i="9"/>
  <c r="G5" i="9"/>
  <c r="F5" i="9"/>
  <c r="E5" i="9"/>
  <c r="D5" i="9"/>
  <c r="C5" i="9"/>
  <c r="B5" i="9"/>
  <c r="J1" i="9" l="1"/>
  <c r="I1" i="9"/>
  <c r="H1" i="9"/>
  <c r="G1" i="9"/>
  <c r="F1" i="9"/>
  <c r="E1" i="9"/>
  <c r="D1" i="9"/>
  <c r="C1" i="9"/>
  <c r="B1" i="9"/>
  <c r="K20" i="9"/>
  <c r="H20" i="9"/>
  <c r="G20" i="9"/>
  <c r="F20" i="9"/>
  <c r="E20" i="9"/>
  <c r="D20" i="9"/>
  <c r="C20" i="9"/>
  <c r="M18" i="9"/>
  <c r="M17" i="9"/>
  <c r="M16" i="9"/>
  <c r="M14" i="9"/>
  <c r="M13" i="9"/>
  <c r="M12" i="9"/>
  <c r="M11" i="9"/>
  <c r="M1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<sst xmlns="http://schemas.openxmlformats.org/spreadsheetml/2006/main" count="2526" uniqueCount="395">
  <si>
    <t>Gen 1</t>
  </si>
  <si>
    <t>Gen 2</t>
  </si>
  <si>
    <t>Gen 3</t>
  </si>
  <si>
    <t>Gen 4</t>
  </si>
  <si>
    <t>Gen 5</t>
  </si>
  <si>
    <t>Gen 6</t>
  </si>
  <si>
    <t>Gen 7</t>
  </si>
  <si>
    <t>Gen 8</t>
  </si>
  <si>
    <t>Gen 9</t>
  </si>
  <si>
    <t>Total</t>
  </si>
  <si>
    <t>Grass</t>
  </si>
  <si>
    <t>Fire</t>
  </si>
  <si>
    <t>Water</t>
  </si>
  <si>
    <t>Lightning</t>
  </si>
  <si>
    <t>Fighting</t>
  </si>
  <si>
    <t>Psychic</t>
  </si>
  <si>
    <t>Colorless</t>
  </si>
  <si>
    <t>All</t>
  </si>
  <si>
    <t>Darkness</t>
  </si>
  <si>
    <t>No.</t>
  </si>
  <si>
    <t>Grass Pokemon</t>
  </si>
  <si>
    <t>Stage</t>
  </si>
  <si>
    <t>Chikorita</t>
  </si>
  <si>
    <t>Bayleef</t>
  </si>
  <si>
    <t>Meganium</t>
  </si>
  <si>
    <t>Basic</t>
  </si>
  <si>
    <t>Stage 1</t>
  </si>
  <si>
    <t>Stage 2</t>
  </si>
  <si>
    <t>Celebi</t>
  </si>
  <si>
    <t>Wurmple</t>
  </si>
  <si>
    <t>Silcoon</t>
  </si>
  <si>
    <t>Cascoon</t>
  </si>
  <si>
    <t>Rowlet</t>
  </si>
  <si>
    <t>Decidueye</t>
  </si>
  <si>
    <t>Dartrix</t>
  </si>
  <si>
    <t>Accelgor</t>
  </si>
  <si>
    <t>Karrablast</t>
  </si>
  <si>
    <t>Escavalier</t>
  </si>
  <si>
    <t>Illumise</t>
  </si>
  <si>
    <t>Volbeat</t>
  </si>
  <si>
    <t>Applin</t>
  </si>
  <si>
    <t>Flapple</t>
  </si>
  <si>
    <t>Shroomish</t>
  </si>
  <si>
    <t>Yanma</t>
  </si>
  <si>
    <t>Yanmega</t>
  </si>
  <si>
    <t>Bounsweet</t>
  </si>
  <si>
    <t>Steenee</t>
  </si>
  <si>
    <t>Tsareena</t>
  </si>
  <si>
    <t>Phantump</t>
  </si>
  <si>
    <t>Trevenant</t>
  </si>
  <si>
    <t>Snover</t>
  </si>
  <si>
    <t>Abomasnow</t>
  </si>
  <si>
    <t>Ferroseed</t>
  </si>
  <si>
    <t>Ferrothorn</t>
  </si>
  <si>
    <t>Grubbin</t>
  </si>
  <si>
    <t>Blipbug</t>
  </si>
  <si>
    <t>Tangela</t>
  </si>
  <si>
    <t>Tangrowth</t>
  </si>
  <si>
    <t>Trainers</t>
  </si>
  <si>
    <t>Energies</t>
  </si>
  <si>
    <t>HP</t>
  </si>
  <si>
    <t>Basic HP</t>
  </si>
  <si>
    <t>Average Basic</t>
  </si>
  <si>
    <t>Average Stage 1</t>
  </si>
  <si>
    <t>Average Stage 2</t>
  </si>
  <si>
    <t>Retreat</t>
  </si>
  <si>
    <t>Average Retreat Basic</t>
  </si>
  <si>
    <t>Average Retreat Stage 1</t>
  </si>
  <si>
    <t>Average Retreat Stage 2</t>
  </si>
  <si>
    <t>Colosseum</t>
  </si>
  <si>
    <t>Common</t>
  </si>
  <si>
    <t>Uncommon</t>
  </si>
  <si>
    <t>Rare</t>
  </si>
  <si>
    <t>Energy</t>
  </si>
  <si>
    <t>Evolution</t>
  </si>
  <si>
    <t>Mystery</t>
  </si>
  <si>
    <t>Laboratory</t>
  </si>
  <si>
    <t>Promo</t>
  </si>
  <si>
    <t>Fire Pokemon</t>
  </si>
  <si>
    <t>Tepig</t>
  </si>
  <si>
    <t>Pignite</t>
  </si>
  <si>
    <t>Emboar</t>
  </si>
  <si>
    <t>Houndour</t>
  </si>
  <si>
    <t>Houndoom</t>
  </si>
  <si>
    <t>Delta Kingdra</t>
  </si>
  <si>
    <t>Sizzlipede</t>
  </si>
  <si>
    <t>Centiskorch</t>
  </si>
  <si>
    <t>Darumaka</t>
  </si>
  <si>
    <t>Darmanitan</t>
  </si>
  <si>
    <t>Littleo</t>
  </si>
  <si>
    <t>Pyroar</t>
  </si>
  <si>
    <t>Numel</t>
  </si>
  <si>
    <t>Camerupt</t>
  </si>
  <si>
    <t>Flareon</t>
  </si>
  <si>
    <t>Turtonator</t>
  </si>
  <si>
    <t>Entei</t>
  </si>
  <si>
    <t>Fuecoco</t>
  </si>
  <si>
    <t>Crocalor</t>
  </si>
  <si>
    <t>Skeledirge</t>
  </si>
  <si>
    <t>Bagon</t>
  </si>
  <si>
    <t>Shelgon</t>
  </si>
  <si>
    <t>Salamence</t>
  </si>
  <si>
    <t>RETREAT</t>
  </si>
  <si>
    <t>Average</t>
  </si>
  <si>
    <t>Highest</t>
  </si>
  <si>
    <t>Lowest</t>
  </si>
  <si>
    <t>Druddigon</t>
  </si>
  <si>
    <t>Magmar</t>
  </si>
  <si>
    <t>Magmortar</t>
  </si>
  <si>
    <t>Ho-oH</t>
  </si>
  <si>
    <t>Scyther</t>
  </si>
  <si>
    <t>Leafeon</t>
  </si>
  <si>
    <t>Water Pokemon</t>
  </si>
  <si>
    <t>Froakie</t>
  </si>
  <si>
    <t>Frogadier</t>
  </si>
  <si>
    <t>Greninja</t>
  </si>
  <si>
    <t>Buizel</t>
  </si>
  <si>
    <t>Floatzel</t>
  </si>
  <si>
    <t>Bruxish</t>
  </si>
  <si>
    <t>Tympole</t>
  </si>
  <si>
    <t>Palpitoad</t>
  </si>
  <si>
    <t>Seismitoad</t>
  </si>
  <si>
    <t>Dewgong</t>
  </si>
  <si>
    <t>Seel</t>
  </si>
  <si>
    <t>Wigull</t>
  </si>
  <si>
    <t>Pelipper</t>
  </si>
  <si>
    <t>Clauncher</t>
  </si>
  <si>
    <t>Clawitzer</t>
  </si>
  <si>
    <t>Horsea</t>
  </si>
  <si>
    <t>Seadra</t>
  </si>
  <si>
    <t>Kingdra</t>
  </si>
  <si>
    <t>Basculin</t>
  </si>
  <si>
    <t>Basculigeon</t>
  </si>
  <si>
    <t>Dewpider</t>
  </si>
  <si>
    <t>Araquanid</t>
  </si>
  <si>
    <t>Chewtle</t>
  </si>
  <si>
    <t>Drednaw</t>
  </si>
  <si>
    <t>Glaceon</t>
  </si>
  <si>
    <t>Vaporeon</t>
  </si>
  <si>
    <t>Omanyte</t>
  </si>
  <si>
    <t>Omastar</t>
  </si>
  <si>
    <t>Mudkip</t>
  </si>
  <si>
    <t>Marshtomp</t>
  </si>
  <si>
    <t>Swampert</t>
  </si>
  <si>
    <t>Suicune</t>
  </si>
  <si>
    <t>Relicanth</t>
  </si>
  <si>
    <t>Lightning Pokemon</t>
  </si>
  <si>
    <t>Blitzle</t>
  </si>
  <si>
    <t>Zebstrika</t>
  </si>
  <si>
    <t>Pincurchin</t>
  </si>
  <si>
    <t>Heloptile</t>
  </si>
  <si>
    <t>Heliolisk</t>
  </si>
  <si>
    <t>Shinx</t>
  </si>
  <si>
    <t>Luxio</t>
  </si>
  <si>
    <t>Luxray</t>
  </si>
  <si>
    <t>Emolga</t>
  </si>
  <si>
    <t>Pichu</t>
  </si>
  <si>
    <t>Pikachu</t>
  </si>
  <si>
    <t>Raichu</t>
  </si>
  <si>
    <t>Magnemite</t>
  </si>
  <si>
    <t>Magneton</t>
  </si>
  <si>
    <t>Magnezone</t>
  </si>
  <si>
    <t>Toxel</t>
  </si>
  <si>
    <t>Toxtricity</t>
  </si>
  <si>
    <t>Electabuzz</t>
  </si>
  <si>
    <t>Electivire</t>
  </si>
  <si>
    <t>Electrike</t>
  </si>
  <si>
    <t>Manectric</t>
  </si>
  <si>
    <t>Jolteon</t>
  </si>
  <si>
    <t>Charjabug</t>
  </si>
  <si>
    <t>Vikavolt</t>
  </si>
  <si>
    <t>Zeraora</t>
  </si>
  <si>
    <t>Raikou</t>
  </si>
  <si>
    <t>Tynamo</t>
  </si>
  <si>
    <t>Eelektrik</t>
  </si>
  <si>
    <t>Eelektross</t>
  </si>
  <si>
    <t>Regieleki</t>
  </si>
  <si>
    <t>Fighting Pokemon</t>
  </si>
  <si>
    <t>Meowth</t>
  </si>
  <si>
    <t>Perrserker</t>
  </si>
  <si>
    <t>Silicobra</t>
  </si>
  <si>
    <t>Sandaconda</t>
  </si>
  <si>
    <t>Sandile</t>
  </si>
  <si>
    <t>Krokorok</t>
  </si>
  <si>
    <t>Krookodile</t>
  </si>
  <si>
    <t>Riolu</t>
  </si>
  <si>
    <t>Lucario</t>
  </si>
  <si>
    <t>Tyrogue</t>
  </si>
  <si>
    <t>Hitmonchan</t>
  </si>
  <si>
    <t>Hitmonlee</t>
  </si>
  <si>
    <t>Hitmontop</t>
  </si>
  <si>
    <t>Trapinch</t>
  </si>
  <si>
    <t>Vibrava</t>
  </si>
  <si>
    <t>Flygon</t>
  </si>
  <si>
    <t>Hawlucha</t>
  </si>
  <si>
    <t>Tyranitar</t>
  </si>
  <si>
    <t>Pupitar</t>
  </si>
  <si>
    <t>Larvitar</t>
  </si>
  <si>
    <t>Cufant</t>
  </si>
  <si>
    <t>Copperajah</t>
  </si>
  <si>
    <t>Scizor</t>
  </si>
  <si>
    <t>Kabuto</t>
  </si>
  <si>
    <t>Kabutops</t>
  </si>
  <si>
    <t>Tyrunt</t>
  </si>
  <si>
    <t>Tyrantrum</t>
  </si>
  <si>
    <t>Rockruff</t>
  </si>
  <si>
    <t>Lycanroc</t>
  </si>
  <si>
    <t>Gallade</t>
  </si>
  <si>
    <t>Psychic Pokemon</t>
  </si>
  <si>
    <t>Ralts</t>
  </si>
  <si>
    <t>Kirlia</t>
  </si>
  <si>
    <t>Gardevoir</t>
  </si>
  <si>
    <t>Malamar</t>
  </si>
  <si>
    <t>Inkay</t>
  </si>
  <si>
    <t>Duskull</t>
  </si>
  <si>
    <t>Dusclobs</t>
  </si>
  <si>
    <t>Dusknoir</t>
  </si>
  <si>
    <t>Misdreavus</t>
  </si>
  <si>
    <t>Mismagius</t>
  </si>
  <si>
    <t>Spiritomb</t>
  </si>
  <si>
    <t>Espeon</t>
  </si>
  <si>
    <t>Abra</t>
  </si>
  <si>
    <t>Kadabra</t>
  </si>
  <si>
    <t>Alakazam</t>
  </si>
  <si>
    <t>Mewtwo</t>
  </si>
  <si>
    <t>Mimiky</t>
  </si>
  <si>
    <t>Mew</t>
  </si>
  <si>
    <t>Carbink</t>
  </si>
  <si>
    <t>Beldum</t>
  </si>
  <si>
    <t>Metang</t>
  </si>
  <si>
    <t>Metagross</t>
  </si>
  <si>
    <t>Munna</t>
  </si>
  <si>
    <t>Musharna</t>
  </si>
  <si>
    <t>Orbeetle</t>
  </si>
  <si>
    <t>Dottler</t>
  </si>
  <si>
    <t>Cresselia</t>
  </si>
  <si>
    <t>Max Basic</t>
  </si>
  <si>
    <t>Max Stage 1</t>
  </si>
  <si>
    <t>Max Stage 2</t>
  </si>
  <si>
    <t>Min Basic</t>
  </si>
  <si>
    <t>Min Stage 1</t>
  </si>
  <si>
    <t>Min Stage 2</t>
  </si>
  <si>
    <t>Max Retreat Basic</t>
  </si>
  <si>
    <t>Min Retreat Basic</t>
  </si>
  <si>
    <t>Max Retreat Stage 1</t>
  </si>
  <si>
    <t>Min Retreat Stage 1</t>
  </si>
  <si>
    <t>Max Retreat Stage 2</t>
  </si>
  <si>
    <t>Min Retreat Stage 2</t>
  </si>
  <si>
    <t>Darkness Pokemon</t>
  </si>
  <si>
    <t>Deino</t>
  </si>
  <si>
    <t>Zweilous</t>
  </si>
  <si>
    <t>Hydreigon</t>
  </si>
  <si>
    <t>Murkrow</t>
  </si>
  <si>
    <t>Honchkrow</t>
  </si>
  <si>
    <t>Skrelp</t>
  </si>
  <si>
    <t>Dragalge</t>
  </si>
  <si>
    <t>Dustox</t>
  </si>
  <si>
    <t>Skorupi</t>
  </si>
  <si>
    <t>Drapion</t>
  </si>
  <si>
    <t>Zubat</t>
  </si>
  <si>
    <t>Golbat</t>
  </si>
  <si>
    <t>Crobat</t>
  </si>
  <si>
    <t>Croagunk</t>
  </si>
  <si>
    <t>Toxicroak</t>
  </si>
  <si>
    <t>Umbreon</t>
  </si>
  <si>
    <t>Wooper</t>
  </si>
  <si>
    <t>Clodsire</t>
  </si>
  <si>
    <t>Impidimp</t>
  </si>
  <si>
    <t>Morgrem</t>
  </si>
  <si>
    <t>Grimmsnarl</t>
  </si>
  <si>
    <t>Bisharp</t>
  </si>
  <si>
    <t>Pawniard</t>
  </si>
  <si>
    <t>Sneasel</t>
  </si>
  <si>
    <t>Weavile</t>
  </si>
  <si>
    <t>Gastly</t>
  </si>
  <si>
    <t>Haunter</t>
  </si>
  <si>
    <t>Gengar</t>
  </si>
  <si>
    <t>Nihilego</t>
  </si>
  <si>
    <t>Pokemon</t>
  </si>
  <si>
    <t>General Average</t>
  </si>
  <si>
    <t>Beautifly</t>
  </si>
  <si>
    <t>Shellmet</t>
  </si>
  <si>
    <t>Appletune</t>
  </si>
  <si>
    <t>Breloom</t>
  </si>
  <si>
    <t>General MAX</t>
  </si>
  <si>
    <t>General MIN</t>
  </si>
  <si>
    <t>How Many?</t>
  </si>
  <si>
    <t>Litwick</t>
  </si>
  <si>
    <t>Lampent</t>
  </si>
  <si>
    <t>Chandelure</t>
  </si>
  <si>
    <t>Darkrai</t>
  </si>
  <si>
    <t>Jangmo-o</t>
  </si>
  <si>
    <t>Hakamo-o</t>
  </si>
  <si>
    <t>Kommo-o</t>
  </si>
  <si>
    <t>WK</t>
  </si>
  <si>
    <t>RS</t>
  </si>
  <si>
    <t>TYPE</t>
  </si>
  <si>
    <t>FIRE</t>
  </si>
  <si>
    <t>WATER</t>
  </si>
  <si>
    <t>DARKNESS</t>
  </si>
  <si>
    <t>LIGHTNING</t>
  </si>
  <si>
    <t>TOTAL</t>
  </si>
  <si>
    <t>FIGHTING</t>
  </si>
  <si>
    <t>GRASS</t>
  </si>
  <si>
    <t>PSYCHIC</t>
  </si>
  <si>
    <t>Global</t>
  </si>
  <si>
    <t>Count</t>
  </si>
  <si>
    <t>Magby</t>
  </si>
  <si>
    <t>.</t>
  </si>
  <si>
    <t>Elekid</t>
  </si>
  <si>
    <t>Tinkatink</t>
  </si>
  <si>
    <t>Tinkatuff</t>
  </si>
  <si>
    <t>Tinkaton</t>
  </si>
  <si>
    <t>Cutiefly</t>
  </si>
  <si>
    <t>Ribombee</t>
  </si>
  <si>
    <t>Salandit</t>
  </si>
  <si>
    <t>Salazzle</t>
  </si>
  <si>
    <t>Proffesor Oak</t>
  </si>
  <si>
    <t>Bill</t>
  </si>
  <si>
    <t>Poke ball</t>
  </si>
  <si>
    <t>potion</t>
  </si>
  <si>
    <t>full heal</t>
  </si>
  <si>
    <t>energy search</t>
  </si>
  <si>
    <t>switch</t>
  </si>
  <si>
    <t>Silcon</t>
  </si>
  <si>
    <t>Appletun</t>
  </si>
  <si>
    <t>Rookidee</t>
  </si>
  <si>
    <t>Corvisquire</t>
  </si>
  <si>
    <t>Corviknight</t>
  </si>
  <si>
    <t>Zigzagoon</t>
  </si>
  <si>
    <t>Linoone</t>
  </si>
  <si>
    <t>Swellow</t>
  </si>
  <si>
    <t>Tailow</t>
  </si>
  <si>
    <t>Cyclizar</t>
  </si>
  <si>
    <t>Revive</t>
  </si>
  <si>
    <t>Eevee</t>
  </si>
  <si>
    <t>Sylveon</t>
  </si>
  <si>
    <t>Moon Stone</t>
  </si>
  <si>
    <t>Wingull</t>
  </si>
  <si>
    <t>Wattrel</t>
  </si>
  <si>
    <t>Kilowattrel</t>
  </si>
  <si>
    <t>Stufful</t>
  </si>
  <si>
    <t>Bewear</t>
  </si>
  <si>
    <t>Bidoof</t>
  </si>
  <si>
    <t>Bibarel</t>
  </si>
  <si>
    <t>Rufflet</t>
  </si>
  <si>
    <t>Braviary</t>
  </si>
  <si>
    <t>Rotom Dex</t>
  </si>
  <si>
    <t>Pkmn Flute</t>
  </si>
  <si>
    <t>Imposter Oak</t>
  </si>
  <si>
    <t>Mr.Fuji</t>
  </si>
  <si>
    <t>Copycat</t>
  </si>
  <si>
    <t>Energy Retrieval</t>
  </si>
  <si>
    <t>Super Potion</t>
  </si>
  <si>
    <t>Yanmma</t>
  </si>
  <si>
    <t>Salamance</t>
  </si>
  <si>
    <t>Litleo</t>
  </si>
  <si>
    <t>Dusclops</t>
  </si>
  <si>
    <t>Mimikyu</t>
  </si>
  <si>
    <t>Toxitcroak</t>
  </si>
  <si>
    <t>Togepi</t>
  </si>
  <si>
    <t>Togetic</t>
  </si>
  <si>
    <t>Togekiss</t>
  </si>
  <si>
    <t>Drampa</t>
  </si>
  <si>
    <t>Audino</t>
  </si>
  <si>
    <t>Stantler</t>
  </si>
  <si>
    <t>Dunsparce</t>
  </si>
  <si>
    <t>Marnie</t>
  </si>
  <si>
    <t>Pkmn Center Lady</t>
  </si>
  <si>
    <t>Substitute Doll</t>
  </si>
  <si>
    <t>Quick Ball</t>
  </si>
  <si>
    <t>Heavy Ball</t>
  </si>
  <si>
    <t>Pluspower</t>
  </si>
  <si>
    <t>Defender</t>
  </si>
  <si>
    <t>Super Rod</t>
  </si>
  <si>
    <t>Scoop Up</t>
  </si>
  <si>
    <t>Tyrantum</t>
  </si>
  <si>
    <t>Mysterious Fossil</t>
  </si>
  <si>
    <t>Goomy</t>
  </si>
  <si>
    <t>Sligoo</t>
  </si>
  <si>
    <t>Goodra</t>
  </si>
  <si>
    <t>Porygon</t>
  </si>
  <si>
    <t>Porygon 2</t>
  </si>
  <si>
    <t>Porygon Z</t>
  </si>
  <si>
    <t>Chatot</t>
  </si>
  <si>
    <t>Ditto</t>
  </si>
  <si>
    <t>Boss Orders</t>
  </si>
  <si>
    <t>PKMN Communication</t>
  </si>
  <si>
    <t>Devolution Spray</t>
  </si>
  <si>
    <t>Item Finder</t>
  </si>
  <si>
    <t>Recycle</t>
  </si>
  <si>
    <t>Rare Candy</t>
  </si>
  <si>
    <t>Energy Removal</t>
  </si>
  <si>
    <t>Input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</si>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</sst>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B75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9" fontId="0" fillId="10" borderId="1" xfId="1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9" fontId="0" fillId="10" borderId="1" xfId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4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66"/>
      <color rgb="FF1B75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FB84-F16E-459F-95EB-4BC4B57123D3}">
  <dimension ref="B1:Z36"/>
  <sheetViews>
    <sheetView tabSelected="1" topLeftCell="A4" zoomScaleNormal="100" workbookViewId="0">
      <selection activeCell="E21" sqref="E21"/>
    </sheetView>
  </sheetViews>
  <sheetFormatPr defaultColWidth="10" defaultRowHeight="15" x14ac:dyDescent="0.25"/>
  <cols>
    <col min="1" max="9" width="10" style="80"/>
    <col min="10" max="10" width="10" style="83"/>
    <col min="11" max="16384" width="10" style="80"/>
  </cols>
  <sheetData>
    <row r="1" spans="2:26" x14ac:dyDescent="0.25">
      <c r="B1" s="11">
        <f t="shared" ref="B1:J1" si="0">B3/$K$3</f>
        <v>0.13220338983050847</v>
      </c>
      <c r="C1" s="11">
        <f t="shared" si="0"/>
        <v>0.12881355932203389</v>
      </c>
      <c r="D1" s="11">
        <f t="shared" si="0"/>
        <v>0.12881355932203389</v>
      </c>
      <c r="E1" s="11">
        <f t="shared" si="0"/>
        <v>0.12542372881355932</v>
      </c>
      <c r="F1" s="11">
        <f t="shared" si="0"/>
        <v>0.13898305084745763</v>
      </c>
      <c r="G1" s="11">
        <f t="shared" si="0"/>
        <v>9.4915254237288138E-2</v>
      </c>
      <c r="H1" s="11">
        <f t="shared" si="0"/>
        <v>0.10169491525423729</v>
      </c>
      <c r="I1" s="11">
        <f t="shared" si="0"/>
        <v>9.152542372881356E-2</v>
      </c>
      <c r="J1" s="11">
        <f t="shared" si="0"/>
        <v>5.7627118644067797E-2</v>
      </c>
      <c r="K1" s="1"/>
      <c r="M1" s="1"/>
      <c r="N1" s="1"/>
      <c r="O1" s="11">
        <f>O3/$X$3</f>
        <v>0.1473170731707317</v>
      </c>
      <c r="P1" s="11">
        <f t="shared" ref="P1:W1" si="1">P3/$X$3</f>
        <v>9.7560975609756101E-2</v>
      </c>
      <c r="Q1" s="11">
        <f t="shared" si="1"/>
        <v>0.13170731707317074</v>
      </c>
      <c r="R1" s="11">
        <f t="shared" si="1"/>
        <v>0.10439024390243902</v>
      </c>
      <c r="S1" s="11">
        <f t="shared" si="1"/>
        <v>0.15219512195121951</v>
      </c>
      <c r="T1" s="11">
        <f t="shared" si="1"/>
        <v>7.0243902439024397E-2</v>
      </c>
      <c r="U1" s="11">
        <f t="shared" si="1"/>
        <v>8.5853658536585373E-2</v>
      </c>
      <c r="V1" s="11">
        <f t="shared" si="1"/>
        <v>9.3658536585365854E-2</v>
      </c>
      <c r="W1" s="11">
        <f t="shared" si="1"/>
        <v>0.11707317073170732</v>
      </c>
      <c r="X1" s="1"/>
    </row>
    <row r="2" spans="2:2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M2" s="1"/>
      <c r="N2" s="1"/>
      <c r="O2" s="2" t="s">
        <v>0</v>
      </c>
      <c r="P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2" t="s">
        <v>6</v>
      </c>
      <c r="V2" s="2" t="s">
        <v>7</v>
      </c>
      <c r="W2" s="2" t="s">
        <v>8</v>
      </c>
      <c r="X2" s="2" t="s">
        <v>9</v>
      </c>
    </row>
    <row r="3" spans="2:26" x14ac:dyDescent="0.25">
      <c r="B3" s="3">
        <f>L10</f>
        <v>39</v>
      </c>
      <c r="C3" s="3">
        <f>L11</f>
        <v>38</v>
      </c>
      <c r="D3" s="3">
        <f>L12</f>
        <v>38</v>
      </c>
      <c r="E3" s="3">
        <f>L13</f>
        <v>37</v>
      </c>
      <c r="F3" s="3">
        <f>L14</f>
        <v>41</v>
      </c>
      <c r="G3" s="3">
        <f>L15</f>
        <v>28</v>
      </c>
      <c r="H3" s="3">
        <f>L16</f>
        <v>30</v>
      </c>
      <c r="I3" s="3">
        <f>L17</f>
        <v>27</v>
      </c>
      <c r="J3" s="3">
        <f>L18</f>
        <v>17</v>
      </c>
      <c r="K3" s="3">
        <f>SUM(B3:J3)</f>
        <v>295</v>
      </c>
      <c r="M3" s="1"/>
      <c r="N3" s="1"/>
      <c r="O3" s="3">
        <v>151</v>
      </c>
      <c r="P3" s="3">
        <v>100</v>
      </c>
      <c r="Q3" s="3">
        <v>135</v>
      </c>
      <c r="R3" s="3">
        <v>107</v>
      </c>
      <c r="S3" s="3">
        <v>156</v>
      </c>
      <c r="T3" s="3">
        <v>72</v>
      </c>
      <c r="U3" s="3">
        <v>88</v>
      </c>
      <c r="V3" s="3">
        <v>96</v>
      </c>
      <c r="W3" s="3">
        <v>120</v>
      </c>
      <c r="X3" s="3">
        <f>SUM(O3:W3)</f>
        <v>1025</v>
      </c>
    </row>
    <row r="4" spans="2:26" x14ac:dyDescent="0.25">
      <c r="B4" s="1"/>
      <c r="C4" s="1"/>
      <c r="D4" s="1"/>
      <c r="E4" s="1"/>
      <c r="F4" s="1"/>
      <c r="G4" s="1"/>
      <c r="H4" s="1"/>
      <c r="I4" s="1"/>
      <c r="J4" s="1"/>
      <c r="L4" s="1"/>
      <c r="M4" s="1"/>
      <c r="N4" s="1"/>
      <c r="O4" s="11">
        <f t="shared" ref="O4:W4" si="2">O6/$X$6</f>
        <v>0.14731707317073173</v>
      </c>
      <c r="P4" s="11">
        <f t="shared" si="2"/>
        <v>9.7560975609756101E-2</v>
      </c>
      <c r="Q4" s="11">
        <f t="shared" si="2"/>
        <v>0.13170731707317074</v>
      </c>
      <c r="R4" s="11">
        <f t="shared" si="2"/>
        <v>0.10439024390243903</v>
      </c>
      <c r="S4" s="11">
        <f t="shared" si="2"/>
        <v>0.15219512195121954</v>
      </c>
      <c r="T4" s="11">
        <f t="shared" si="2"/>
        <v>7.0243902439024397E-2</v>
      </c>
      <c r="U4" s="11">
        <f t="shared" si="2"/>
        <v>8.5853658536585373E-2</v>
      </c>
      <c r="V4" s="11">
        <f t="shared" si="2"/>
        <v>9.3658536585365867E-2</v>
      </c>
      <c r="W4" s="11">
        <f t="shared" si="2"/>
        <v>0.11707317073170732</v>
      </c>
      <c r="X4" s="1"/>
    </row>
    <row r="5" spans="2:26" x14ac:dyDescent="0.25">
      <c r="B5" s="11">
        <f t="shared" ref="B5:L5" si="3">B7/$K$3</f>
        <v>0.11864406779661017</v>
      </c>
      <c r="C5" s="11">
        <f t="shared" si="3"/>
        <v>0.11864406779661017</v>
      </c>
      <c r="D5" s="11">
        <f t="shared" si="3"/>
        <v>0.12542372881355932</v>
      </c>
      <c r="E5" s="11">
        <f t="shared" si="3"/>
        <v>0.12203389830508475</v>
      </c>
      <c r="F5" s="11">
        <f t="shared" si="3"/>
        <v>0.10847457627118644</v>
      </c>
      <c r="G5" s="11">
        <f t="shared" si="3"/>
        <v>9.8305084745762716E-2</v>
      </c>
      <c r="H5" s="11">
        <f t="shared" si="3"/>
        <v>0.12542372881355932</v>
      </c>
      <c r="I5" s="11">
        <f t="shared" si="3"/>
        <v>6.7796610169491525E-2</v>
      </c>
      <c r="J5" s="11">
        <f t="shared" si="3"/>
        <v>0.11525423728813559</v>
      </c>
      <c r="K5" s="11">
        <f t="shared" si="3"/>
        <v>0.12203389830508475</v>
      </c>
      <c r="L5" s="11">
        <f t="shared" si="3"/>
        <v>2.7118644067796609E-2</v>
      </c>
      <c r="M5" s="1"/>
      <c r="N5" s="1"/>
      <c r="O5" s="2" t="s">
        <v>0</v>
      </c>
      <c r="P5" s="2" t="s">
        <v>1</v>
      </c>
      <c r="Q5" s="2" t="s">
        <v>2</v>
      </c>
      <c r="R5" s="2" t="s">
        <v>3</v>
      </c>
      <c r="S5" s="2" t="s">
        <v>4</v>
      </c>
      <c r="T5" s="2" t="s">
        <v>5</v>
      </c>
      <c r="U5" s="2" t="s">
        <v>6</v>
      </c>
      <c r="V5" s="2" t="s">
        <v>7</v>
      </c>
      <c r="W5" s="2" t="s">
        <v>8</v>
      </c>
      <c r="X5" s="2" t="s">
        <v>9</v>
      </c>
    </row>
    <row r="6" spans="2:26" ht="15" customHeight="1" x14ac:dyDescent="0.25">
      <c r="B6" s="75" t="s">
        <v>10</v>
      </c>
      <c r="C6" s="76" t="s">
        <v>11</v>
      </c>
      <c r="D6" s="78" t="s">
        <v>12</v>
      </c>
      <c r="E6" s="4" t="s">
        <v>13</v>
      </c>
      <c r="F6" s="9" t="s">
        <v>14</v>
      </c>
      <c r="G6" s="77" t="s">
        <v>15</v>
      </c>
      <c r="H6" s="79" t="s">
        <v>18</v>
      </c>
      <c r="I6" s="84" t="s">
        <v>394</v>
      </c>
      <c r="J6" s="5" t="s">
        <v>16</v>
      </c>
      <c r="K6" s="53" t="s">
        <v>58</v>
      </c>
      <c r="L6" s="53" t="s">
        <v>59</v>
      </c>
      <c r="M6" s="2" t="s">
        <v>9</v>
      </c>
      <c r="N6" s="1"/>
      <c r="O6" s="81">
        <f>O3*40%</f>
        <v>60.400000000000006</v>
      </c>
      <c r="P6" s="81">
        <f>P3*40%</f>
        <v>40</v>
      </c>
      <c r="Q6" s="81">
        <f>Q3*40%</f>
        <v>54</v>
      </c>
      <c r="R6" s="81">
        <f>R3*40%</f>
        <v>42.800000000000004</v>
      </c>
      <c r="S6" s="81">
        <f>S3*40%</f>
        <v>62.400000000000006</v>
      </c>
      <c r="T6" s="81">
        <f t="shared" ref="T6:V6" si="4">T3*40%</f>
        <v>28.8</v>
      </c>
      <c r="U6" s="81">
        <f>U3*40%</f>
        <v>35.200000000000003</v>
      </c>
      <c r="V6" s="81">
        <f t="shared" si="4"/>
        <v>38.400000000000006</v>
      </c>
      <c r="W6" s="81">
        <f>W3*40%</f>
        <v>48</v>
      </c>
      <c r="X6" s="81">
        <f>SUM(O6:W6)</f>
        <v>410</v>
      </c>
    </row>
    <row r="7" spans="2:26" x14ac:dyDescent="0.25">
      <c r="B7" s="3">
        <f>C19</f>
        <v>35</v>
      </c>
      <c r="C7" s="3">
        <f t="shared" ref="C7:G7" si="5">D19</f>
        <v>35</v>
      </c>
      <c r="D7" s="3">
        <f t="shared" si="5"/>
        <v>37</v>
      </c>
      <c r="E7" s="3">
        <f t="shared" si="5"/>
        <v>36</v>
      </c>
      <c r="F7" s="3">
        <f t="shared" si="5"/>
        <v>32</v>
      </c>
      <c r="G7" s="3">
        <f t="shared" si="5"/>
        <v>29</v>
      </c>
      <c r="H7" s="3">
        <f>I19</f>
        <v>37</v>
      </c>
      <c r="I7" s="3">
        <f>J19</f>
        <v>20</v>
      </c>
      <c r="J7" s="3">
        <f>K19</f>
        <v>34</v>
      </c>
      <c r="K7" s="3">
        <v>36</v>
      </c>
      <c r="L7" s="3">
        <v>8</v>
      </c>
      <c r="M7" s="3">
        <f>SUM(B7:L7)</f>
        <v>339</v>
      </c>
      <c r="N7" s="1">
        <f>M7+P14</f>
        <v>417</v>
      </c>
      <c r="O7" s="11">
        <f>O9/O6</f>
        <v>0.64569536423841056</v>
      </c>
      <c r="P7" s="11">
        <f>P9/P6</f>
        <v>0.95</v>
      </c>
      <c r="Q7" s="11">
        <f t="shared" ref="Q7:W7" si="6">Q9/Q6</f>
        <v>0.70370370370370372</v>
      </c>
      <c r="R7" s="11">
        <f t="shared" si="6"/>
        <v>0.86448598130841114</v>
      </c>
      <c r="S7" s="11">
        <f t="shared" si="6"/>
        <v>0.65705128205128194</v>
      </c>
      <c r="T7" s="11">
        <f t="shared" si="6"/>
        <v>0.97222222222222221</v>
      </c>
      <c r="U7" s="11">
        <f t="shared" si="6"/>
        <v>0.85227272727272718</v>
      </c>
      <c r="V7" s="11">
        <f t="shared" si="6"/>
        <v>0.70312499999999989</v>
      </c>
      <c r="W7" s="11">
        <f t="shared" si="6"/>
        <v>0.35416666666666669</v>
      </c>
      <c r="X7" s="1"/>
    </row>
    <row r="8" spans="2:26" x14ac:dyDescent="0.25">
      <c r="B8" s="1"/>
      <c r="C8" s="1"/>
      <c r="D8" s="1"/>
      <c r="E8" s="1"/>
      <c r="F8" s="1"/>
      <c r="G8" s="1"/>
      <c r="H8" s="1"/>
      <c r="I8" s="1"/>
      <c r="J8" s="1"/>
      <c r="M8" s="11"/>
      <c r="N8" s="11">
        <f>M7/N7</f>
        <v>0.81294964028776984</v>
      </c>
      <c r="O8" s="2" t="s">
        <v>0</v>
      </c>
      <c r="P8" s="2" t="s">
        <v>1</v>
      </c>
      <c r="Q8" s="2" t="s">
        <v>2</v>
      </c>
      <c r="R8" s="2" t="s">
        <v>3</v>
      </c>
      <c r="S8" s="2" t="s">
        <v>4</v>
      </c>
      <c r="T8" s="2" t="s">
        <v>5</v>
      </c>
      <c r="U8" s="2" t="s">
        <v>6</v>
      </c>
      <c r="V8" s="2" t="s">
        <v>7</v>
      </c>
      <c r="W8" s="2" t="s">
        <v>8</v>
      </c>
      <c r="X8" s="2" t="s">
        <v>9</v>
      </c>
    </row>
    <row r="9" spans="2:26" x14ac:dyDescent="0.25">
      <c r="B9" s="3" t="s">
        <v>17</v>
      </c>
      <c r="C9" s="75" t="s">
        <v>10</v>
      </c>
      <c r="D9" s="76" t="s">
        <v>11</v>
      </c>
      <c r="E9" s="78" t="s">
        <v>12</v>
      </c>
      <c r="F9" s="4" t="s">
        <v>13</v>
      </c>
      <c r="G9" s="9" t="s">
        <v>14</v>
      </c>
      <c r="H9" s="77" t="s">
        <v>15</v>
      </c>
      <c r="I9" s="79" t="s">
        <v>18</v>
      </c>
      <c r="J9" s="84" t="s">
        <v>394</v>
      </c>
      <c r="K9" s="5" t="s">
        <v>16</v>
      </c>
      <c r="L9" s="2" t="s">
        <v>9</v>
      </c>
      <c r="M9" s="1"/>
      <c r="O9" s="81">
        <f>L10</f>
        <v>39</v>
      </c>
      <c r="P9" s="81">
        <f>L11</f>
        <v>38</v>
      </c>
      <c r="Q9" s="81">
        <f>L12</f>
        <v>38</v>
      </c>
      <c r="R9" s="81">
        <f>L13</f>
        <v>37</v>
      </c>
      <c r="S9" s="81">
        <f>L14</f>
        <v>41</v>
      </c>
      <c r="T9" s="81">
        <f>L15</f>
        <v>28</v>
      </c>
      <c r="U9" s="81">
        <f>L16</f>
        <v>30</v>
      </c>
      <c r="V9" s="81">
        <f>L17</f>
        <v>27</v>
      </c>
      <c r="W9" s="81">
        <f>L18</f>
        <v>17</v>
      </c>
      <c r="X9" s="81">
        <f>SUM(O9:W9)</f>
        <v>295</v>
      </c>
      <c r="Y9" s="65" cm="1">
        <f t="array" ref="Y9:Z9">X9+K7:L7</f>
        <v>331</v>
      </c>
      <c r="Z9" s="80">
        <v>303</v>
      </c>
    </row>
    <row r="10" spans="2:26" x14ac:dyDescent="0.25">
      <c r="B10" s="2" t="s">
        <v>0</v>
      </c>
      <c r="C10" s="3">
        <v>2</v>
      </c>
      <c r="D10" s="3">
        <v>5</v>
      </c>
      <c r="E10" s="3">
        <v>9</v>
      </c>
      <c r="F10" s="3">
        <v>6</v>
      </c>
      <c r="G10" s="3">
        <v>4</v>
      </c>
      <c r="H10" s="3">
        <v>5</v>
      </c>
      <c r="I10" s="3">
        <v>5</v>
      </c>
      <c r="J10" s="3"/>
      <c r="K10" s="3">
        <v>3</v>
      </c>
      <c r="L10" s="3">
        <f t="shared" ref="L10:L18" si="7">SUM(C10:K10)</f>
        <v>39</v>
      </c>
      <c r="M10" s="11">
        <f t="shared" ref="M10:M18" si="8">L10/$L$19</f>
        <v>0.13220338983050847</v>
      </c>
      <c r="N10" s="80">
        <f>L10-'1.7'!K10</f>
        <v>5</v>
      </c>
      <c r="O10" s="65">
        <f>O6-O9</f>
        <v>21.400000000000006</v>
      </c>
      <c r="P10" s="65">
        <f t="shared" ref="P10:W10" si="9">P6-P9</f>
        <v>2</v>
      </c>
      <c r="Q10" s="65">
        <f t="shared" si="9"/>
        <v>16</v>
      </c>
      <c r="R10" s="65">
        <f t="shared" si="9"/>
        <v>5.8000000000000043</v>
      </c>
      <c r="S10" s="65">
        <f t="shared" si="9"/>
        <v>21.400000000000006</v>
      </c>
      <c r="T10" s="65">
        <f t="shared" si="9"/>
        <v>0.80000000000000071</v>
      </c>
      <c r="U10" s="65">
        <f t="shared" si="9"/>
        <v>5.2000000000000028</v>
      </c>
      <c r="V10" s="65">
        <f t="shared" si="9"/>
        <v>11.400000000000006</v>
      </c>
      <c r="W10" s="65">
        <f t="shared" si="9"/>
        <v>31</v>
      </c>
    </row>
    <row r="11" spans="2:26" x14ac:dyDescent="0.25">
      <c r="B11" s="2" t="s">
        <v>1</v>
      </c>
      <c r="C11" s="3">
        <v>4</v>
      </c>
      <c r="D11" s="3">
        <v>5</v>
      </c>
      <c r="E11" s="3">
        <v>3</v>
      </c>
      <c r="F11" s="3">
        <v>6</v>
      </c>
      <c r="G11" s="3">
        <v>5</v>
      </c>
      <c r="H11" s="3">
        <v>4</v>
      </c>
      <c r="I11" s="3">
        <v>4</v>
      </c>
      <c r="J11" s="3">
        <v>1</v>
      </c>
      <c r="K11" s="3">
        <v>6</v>
      </c>
      <c r="L11" s="3">
        <f t="shared" si="7"/>
        <v>38</v>
      </c>
      <c r="M11" s="11">
        <f t="shared" si="8"/>
        <v>0.12881355932203389</v>
      </c>
      <c r="N11" s="82">
        <f>L11-'1.7'!K11</f>
        <v>6</v>
      </c>
    </row>
    <row r="12" spans="2:26" x14ac:dyDescent="0.25">
      <c r="B12" s="2" t="s">
        <v>2</v>
      </c>
      <c r="C12" s="3">
        <v>8</v>
      </c>
      <c r="D12" s="3">
        <v>5</v>
      </c>
      <c r="E12" s="3">
        <v>6</v>
      </c>
      <c r="F12" s="3">
        <v>2</v>
      </c>
      <c r="G12" s="3">
        <v>3</v>
      </c>
      <c r="H12" s="3">
        <v>5</v>
      </c>
      <c r="I12" s="3">
        <v>2</v>
      </c>
      <c r="J12" s="3">
        <v>3</v>
      </c>
      <c r="K12" s="3">
        <v>4</v>
      </c>
      <c r="L12" s="3">
        <f t="shared" si="7"/>
        <v>38</v>
      </c>
      <c r="M12" s="11">
        <f t="shared" si="8"/>
        <v>0.12881355932203389</v>
      </c>
      <c r="N12" s="82">
        <f>L12-'1.7'!K12</f>
        <v>1</v>
      </c>
    </row>
    <row r="13" spans="2:26" x14ac:dyDescent="0.25">
      <c r="B13" s="2" t="s">
        <v>3</v>
      </c>
      <c r="C13" s="3">
        <v>8</v>
      </c>
      <c r="D13" s="3">
        <v>1</v>
      </c>
      <c r="E13" s="3">
        <v>4</v>
      </c>
      <c r="F13" s="3">
        <v>5</v>
      </c>
      <c r="G13" s="3">
        <v>3</v>
      </c>
      <c r="H13" s="3">
        <v>4</v>
      </c>
      <c r="I13" s="3">
        <v>7</v>
      </c>
      <c r="J13" s="3"/>
      <c r="K13" s="3">
        <v>5</v>
      </c>
      <c r="L13" s="3">
        <f t="shared" si="7"/>
        <v>37</v>
      </c>
      <c r="M13" s="11">
        <f t="shared" si="8"/>
        <v>0.12542372881355932</v>
      </c>
      <c r="N13" s="82">
        <f>L13-'1.7'!K13</f>
        <v>3</v>
      </c>
    </row>
    <row r="14" spans="2:26" x14ac:dyDescent="0.25">
      <c r="B14" s="2" t="s">
        <v>4</v>
      </c>
      <c r="C14" s="3">
        <v>2</v>
      </c>
      <c r="D14" s="3">
        <v>9</v>
      </c>
      <c r="E14" s="3">
        <v>4</v>
      </c>
      <c r="F14" s="3">
        <v>6</v>
      </c>
      <c r="G14" s="3">
        <v>3</v>
      </c>
      <c r="H14" s="3">
        <v>2</v>
      </c>
      <c r="I14" s="3">
        <v>6</v>
      </c>
      <c r="J14" s="3">
        <v>6</v>
      </c>
      <c r="K14" s="3">
        <v>3</v>
      </c>
      <c r="L14" s="3">
        <f t="shared" si="7"/>
        <v>41</v>
      </c>
      <c r="M14" s="11">
        <f t="shared" si="8"/>
        <v>0.13898305084745763</v>
      </c>
      <c r="N14" s="82">
        <f>L14-'1.7'!K14</f>
        <v>3</v>
      </c>
      <c r="O14" s="80">
        <v>56</v>
      </c>
      <c r="P14" s="80">
        <v>78</v>
      </c>
      <c r="Q14" s="80">
        <f>P14-O14</f>
        <v>22</v>
      </c>
    </row>
    <row r="15" spans="2:26" x14ac:dyDescent="0.25">
      <c r="B15" s="2" t="s">
        <v>5</v>
      </c>
      <c r="C15" s="3">
        <v>2</v>
      </c>
      <c r="D15" s="3">
        <v>2</v>
      </c>
      <c r="E15" s="3">
        <v>5</v>
      </c>
      <c r="F15" s="3">
        <v>2</v>
      </c>
      <c r="G15" s="3">
        <v>3</v>
      </c>
      <c r="H15" s="3">
        <v>1</v>
      </c>
      <c r="I15" s="3">
        <v>6</v>
      </c>
      <c r="J15" s="3">
        <v>3</v>
      </c>
      <c r="K15" s="3">
        <v>4</v>
      </c>
      <c r="L15" s="3">
        <f t="shared" si="7"/>
        <v>28</v>
      </c>
      <c r="M15" s="11">
        <f t="shared" si="8"/>
        <v>9.4915254237288138E-2</v>
      </c>
      <c r="N15" s="82">
        <f>L15-'1.7'!K15</f>
        <v>5</v>
      </c>
      <c r="P15" s="80">
        <f>P14-10</f>
        <v>68</v>
      </c>
      <c r="Q15" s="80">
        <v>10</v>
      </c>
    </row>
    <row r="16" spans="2:26" ht="15" customHeight="1" x14ac:dyDescent="0.25">
      <c r="B16" s="2" t="s">
        <v>6</v>
      </c>
      <c r="C16" s="3">
        <v>6</v>
      </c>
      <c r="D16" s="3">
        <v>3</v>
      </c>
      <c r="E16" s="3">
        <v>3</v>
      </c>
      <c r="F16" s="3">
        <v>4</v>
      </c>
      <c r="G16" s="3">
        <v>6</v>
      </c>
      <c r="H16" s="3">
        <v>3</v>
      </c>
      <c r="I16" s="3">
        <v>1</v>
      </c>
      <c r="J16" s="3"/>
      <c r="K16" s="3">
        <v>4</v>
      </c>
      <c r="L16" s="3">
        <f t="shared" si="7"/>
        <v>30</v>
      </c>
      <c r="M16" s="11">
        <f t="shared" si="8"/>
        <v>0.10169491525423729</v>
      </c>
      <c r="N16" s="82">
        <f>L16-'1.7'!K16</f>
        <v>0</v>
      </c>
      <c r="P16" s="80">
        <v>70</v>
      </c>
      <c r="Q16" s="80">
        <v>10</v>
      </c>
    </row>
    <row r="17" spans="2:19" ht="15" customHeight="1" x14ac:dyDescent="0.25">
      <c r="B17" s="2" t="s">
        <v>7</v>
      </c>
      <c r="C17" s="3">
        <v>3</v>
      </c>
      <c r="D17" s="3">
        <v>2</v>
      </c>
      <c r="E17" s="3">
        <v>3</v>
      </c>
      <c r="F17" s="3">
        <v>3</v>
      </c>
      <c r="G17" s="3">
        <v>2</v>
      </c>
      <c r="H17" s="3">
        <v>3</v>
      </c>
      <c r="I17" s="3">
        <v>4</v>
      </c>
      <c r="J17" s="3">
        <v>4</v>
      </c>
      <c r="K17" s="3">
        <v>3</v>
      </c>
      <c r="L17" s="3">
        <f t="shared" si="7"/>
        <v>27</v>
      </c>
      <c r="M17" s="11">
        <f t="shared" si="8"/>
        <v>9.152542372881356E-2</v>
      </c>
      <c r="N17" s="82">
        <f>L17-'1.7'!K17</f>
        <v>0</v>
      </c>
      <c r="P17" s="65">
        <f>P16/9</f>
        <v>7.7777777777777777</v>
      </c>
    </row>
    <row r="18" spans="2:19" x14ac:dyDescent="0.25">
      <c r="B18" s="2" t="s">
        <v>8</v>
      </c>
      <c r="C18" s="3">
        <v>0</v>
      </c>
      <c r="D18" s="3">
        <v>3</v>
      </c>
      <c r="E18" s="3">
        <v>0</v>
      </c>
      <c r="F18" s="3">
        <v>2</v>
      </c>
      <c r="G18" s="3">
        <v>3</v>
      </c>
      <c r="H18" s="3">
        <v>2</v>
      </c>
      <c r="I18" s="3">
        <v>2</v>
      </c>
      <c r="J18" s="3">
        <v>3</v>
      </c>
      <c r="K18" s="3">
        <v>2</v>
      </c>
      <c r="L18" s="3">
        <f t="shared" si="7"/>
        <v>17</v>
      </c>
      <c r="M18" s="11">
        <f t="shared" si="8"/>
        <v>5.7627118644067797E-2</v>
      </c>
      <c r="N18" s="82">
        <f>L18-'1.7'!K18</f>
        <v>6</v>
      </c>
    </row>
    <row r="19" spans="2:19" x14ac:dyDescent="0.25">
      <c r="B19" s="2" t="s">
        <v>9</v>
      </c>
      <c r="C19" s="3">
        <f>SUM(C10:C18)</f>
        <v>35</v>
      </c>
      <c r="D19" s="3">
        <f t="shared" ref="D19:H19" si="10">SUM(D10:D18)</f>
        <v>35</v>
      </c>
      <c r="E19" s="3">
        <f t="shared" si="10"/>
        <v>37</v>
      </c>
      <c r="F19" s="3">
        <f t="shared" si="10"/>
        <v>36</v>
      </c>
      <c r="G19" s="3">
        <f t="shared" si="10"/>
        <v>32</v>
      </c>
      <c r="H19" s="3">
        <f t="shared" si="10"/>
        <v>29</v>
      </c>
      <c r="I19" s="3">
        <f>SUM(I10:I18)</f>
        <v>37</v>
      </c>
      <c r="J19" s="3">
        <f>SUM(J10:J18)</f>
        <v>20</v>
      </c>
      <c r="K19" s="3">
        <f>SUM(K10:K18)</f>
        <v>34</v>
      </c>
      <c r="L19" s="3">
        <f>SUM(L10:L18)</f>
        <v>295</v>
      </c>
      <c r="M19" s="1"/>
    </row>
    <row r="20" spans="2:19" x14ac:dyDescent="0.25">
      <c r="B20" s="1"/>
      <c r="C20" s="11">
        <f t="shared" ref="C20:K20" si="11">C19/$L$19</f>
        <v>0.11864406779661017</v>
      </c>
      <c r="D20" s="11">
        <f t="shared" si="11"/>
        <v>0.11864406779661017</v>
      </c>
      <c r="E20" s="11">
        <f t="shared" si="11"/>
        <v>0.12542372881355932</v>
      </c>
      <c r="F20" s="11">
        <f t="shared" si="11"/>
        <v>0.12203389830508475</v>
      </c>
      <c r="G20" s="11">
        <f t="shared" si="11"/>
        <v>0.10847457627118644</v>
      </c>
      <c r="H20" s="11">
        <f t="shared" si="11"/>
        <v>9.8305084745762716E-2</v>
      </c>
      <c r="I20" s="11">
        <f>I19/$L$19</f>
        <v>0.12542372881355932</v>
      </c>
      <c r="J20" s="11">
        <f>J19/$L$19</f>
        <v>6.7796610169491525E-2</v>
      </c>
      <c r="K20" s="11">
        <f t="shared" si="11"/>
        <v>0.11525423728813559</v>
      </c>
      <c r="L20" s="1"/>
      <c r="M20" s="1"/>
    </row>
    <row r="21" spans="2:19" x14ac:dyDescent="0.25">
      <c r="C21" s="65">
        <f>'1.7'!C19+$P$17</f>
        <v>43.777777777777779</v>
      </c>
      <c r="D21" s="65">
        <f>'1.7'!D19+$P$17</f>
        <v>39.777777777777779</v>
      </c>
      <c r="E21" s="65">
        <f>'1.7'!E19+$P$17</f>
        <v>40.777777777777779</v>
      </c>
      <c r="F21" s="65">
        <f>'1.7'!F19+$P$17</f>
        <v>40.777777777777779</v>
      </c>
      <c r="G21" s="65">
        <f>'1.7'!G19+$P$17</f>
        <v>41.777777777777779</v>
      </c>
      <c r="H21" s="65">
        <f>'1.7'!H19+$P$17</f>
        <v>40.777777777777779</v>
      </c>
      <c r="I21" s="65">
        <f>'1.7'!I19+$P$17</f>
        <v>39.777777777777779</v>
      </c>
      <c r="J21" s="65">
        <f>J19+$P$17</f>
        <v>27.777777777777779</v>
      </c>
      <c r="K21" s="65">
        <f>'1.7'!J19+$P$17</f>
        <v>40.777777777777779</v>
      </c>
      <c r="L21" s="65"/>
    </row>
    <row r="22" spans="2:19" x14ac:dyDescent="0.25">
      <c r="C22" s="65">
        <f>C19-'1.7'!C19</f>
        <v>-1</v>
      </c>
      <c r="D22" s="65">
        <f>D19-'1.7'!D19</f>
        <v>3</v>
      </c>
      <c r="E22" s="65">
        <f>E19-'1.7'!E19</f>
        <v>4</v>
      </c>
      <c r="F22" s="65">
        <f>F19-'1.7'!F19</f>
        <v>3</v>
      </c>
      <c r="G22" s="65">
        <f>G19-'1.7'!G19</f>
        <v>-2</v>
      </c>
      <c r="H22" s="65">
        <f>H19-'1.7'!H19</f>
        <v>-4</v>
      </c>
      <c r="I22" s="65">
        <f>I19-'1.7'!I19</f>
        <v>5</v>
      </c>
      <c r="J22" s="65"/>
      <c r="K22" s="65">
        <f>K19-'1.7'!J19</f>
        <v>1</v>
      </c>
      <c r="L22" s="65">
        <f>SUM(C22:K22)</f>
        <v>9</v>
      </c>
    </row>
    <row r="23" spans="2:19" x14ac:dyDescent="0.25">
      <c r="B23" s="53" t="s">
        <v>58</v>
      </c>
    </row>
    <row r="24" spans="2:19" x14ac:dyDescent="0.25">
      <c r="B24" s="1">
        <v>46</v>
      </c>
    </row>
    <row r="25" spans="2:19" x14ac:dyDescent="0.25">
      <c r="B25" s="11">
        <f>K7/$B$24</f>
        <v>0.78260869565217395</v>
      </c>
    </row>
    <row r="27" spans="2:19" x14ac:dyDescent="0.25">
      <c r="P27" s="80" t="s">
        <v>393</v>
      </c>
    </row>
    <row r="28" spans="2:19" x14ac:dyDescent="0.25">
      <c r="P28" s="80">
        <v>31</v>
      </c>
      <c r="Q28" s="80">
        <v>255</v>
      </c>
      <c r="R28" s="65"/>
      <c r="S28" s="65"/>
    </row>
    <row r="29" spans="2:19" x14ac:dyDescent="0.25">
      <c r="P29" s="62">
        <v>30</v>
      </c>
      <c r="Q29" s="66">
        <f>(P29*255)/31</f>
        <v>246.7741935483871</v>
      </c>
      <c r="S29" s="80">
        <v>2</v>
      </c>
    </row>
    <row r="30" spans="2:19" x14ac:dyDescent="0.25">
      <c r="P30" s="63">
        <v>27</v>
      </c>
      <c r="Q30" s="67">
        <f>(P30*255)/31</f>
        <v>222.09677419354838</v>
      </c>
      <c r="S30" s="80">
        <v>3</v>
      </c>
    </row>
    <row r="31" spans="2:19" x14ac:dyDescent="0.25">
      <c r="P31" s="64">
        <v>24</v>
      </c>
      <c r="Q31" s="68">
        <f>(P31*255)/31</f>
        <v>197.41935483870967</v>
      </c>
      <c r="S31" s="80">
        <v>6</v>
      </c>
    </row>
    <row r="32" spans="2:19" x14ac:dyDescent="0.25">
      <c r="Q32" s="80" t="s">
        <v>393</v>
      </c>
    </row>
    <row r="33" spans="16:17" x14ac:dyDescent="0.25">
      <c r="P33" s="80">
        <v>255</v>
      </c>
      <c r="Q33" s="80">
        <v>31</v>
      </c>
    </row>
    <row r="34" spans="16:17" x14ac:dyDescent="0.25">
      <c r="P34" s="66">
        <f>(Q34*31)/255</f>
        <v>30.149019607843137</v>
      </c>
      <c r="Q34" s="66">
        <v>248</v>
      </c>
    </row>
    <row r="35" spans="16:17" x14ac:dyDescent="0.25">
      <c r="P35" s="67">
        <f>(Q35*31)/255</f>
        <v>33.79607843137255</v>
      </c>
      <c r="Q35" s="67">
        <v>278</v>
      </c>
    </row>
    <row r="36" spans="16:17" x14ac:dyDescent="0.25">
      <c r="P36" s="68">
        <f>(Q36*31)/255</f>
        <v>0</v>
      </c>
      <c r="Q36" s="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0ACF-63E7-46F4-AFC3-8A58C2641BF6}">
  <dimension ref="B1:W34"/>
  <sheetViews>
    <sheetView topLeftCell="A20" zoomScale="90" zoomScaleNormal="90" workbookViewId="0">
      <selection activeCell="F34" sqref="F34"/>
    </sheetView>
  </sheetViews>
  <sheetFormatPr defaultRowHeight="15" x14ac:dyDescent="0.25"/>
  <cols>
    <col min="1" max="1" width="9.140625" style="13"/>
    <col min="2" max="2" width="15.7109375" style="13" customWidth="1"/>
    <col min="3" max="7" width="9.140625" style="13"/>
    <col min="8" max="8" width="15.7109375" style="13" customWidth="1"/>
    <col min="9" max="13" width="9.140625" style="13"/>
    <col min="14" max="14" width="15.7109375" style="13" customWidth="1"/>
    <col min="15" max="19" width="9.140625" style="13"/>
    <col min="20" max="20" width="15.7109375" style="13" customWidth="1"/>
    <col min="21" max="24" width="9.140625" style="13"/>
    <col min="25" max="25" width="15.7109375" style="13" customWidth="1"/>
    <col min="26" max="29" width="9.140625" style="13"/>
    <col min="30" max="30" width="15.7109375" style="13" customWidth="1"/>
    <col min="31" max="16384" width="9.140625" style="13"/>
  </cols>
  <sheetData>
    <row r="1" spans="2:23" ht="18.75" x14ac:dyDescent="0.25">
      <c r="B1" s="85" t="s">
        <v>103</v>
      </c>
      <c r="C1" s="85"/>
      <c r="D1" s="85"/>
      <c r="E1" s="85"/>
      <c r="F1" s="45"/>
      <c r="H1" s="85" t="s">
        <v>104</v>
      </c>
      <c r="I1" s="85"/>
      <c r="J1" s="85"/>
      <c r="K1" s="85"/>
      <c r="L1" s="45"/>
      <c r="N1" s="85" t="s">
        <v>105</v>
      </c>
      <c r="O1" s="85"/>
      <c r="P1" s="85"/>
      <c r="Q1" s="85"/>
      <c r="R1" s="45"/>
      <c r="T1" s="85" t="s">
        <v>279</v>
      </c>
      <c r="U1" s="85"/>
      <c r="V1" s="85"/>
      <c r="W1" s="85"/>
    </row>
    <row r="2" spans="2:23" ht="30.75" customHeight="1" x14ac:dyDescent="0.25">
      <c r="B2" s="6" t="s">
        <v>20</v>
      </c>
      <c r="C2" s="18" t="s">
        <v>25</v>
      </c>
      <c r="D2" s="18" t="s">
        <v>26</v>
      </c>
      <c r="E2" s="18" t="s">
        <v>27</v>
      </c>
      <c r="F2" s="18" t="s">
        <v>103</v>
      </c>
      <c r="H2" s="6" t="s">
        <v>20</v>
      </c>
      <c r="I2" s="18" t="s">
        <v>25</v>
      </c>
      <c r="J2" s="18" t="s">
        <v>26</v>
      </c>
      <c r="K2" s="18" t="s">
        <v>27</v>
      </c>
      <c r="L2" s="18" t="s">
        <v>103</v>
      </c>
      <c r="N2" s="6" t="s">
        <v>20</v>
      </c>
      <c r="O2" s="18" t="s">
        <v>25</v>
      </c>
      <c r="P2" s="18" t="s">
        <v>26</v>
      </c>
      <c r="Q2" s="18" t="s">
        <v>27</v>
      </c>
      <c r="R2" s="18" t="s">
        <v>103</v>
      </c>
      <c r="T2" s="14" t="s">
        <v>278</v>
      </c>
      <c r="U2" s="18" t="s">
        <v>25</v>
      </c>
      <c r="V2" s="18" t="s">
        <v>26</v>
      </c>
      <c r="W2" s="18" t="s">
        <v>27</v>
      </c>
    </row>
    <row r="3" spans="2:23" x14ac:dyDescent="0.25">
      <c r="B3" s="18" t="s">
        <v>60</v>
      </c>
      <c r="C3" s="19">
        <f>Sheet1!K3</f>
        <v>54.117647058823529</v>
      </c>
      <c r="D3" s="19">
        <f>Sheet1!L3</f>
        <v>76.666666666666671</v>
      </c>
      <c r="E3" s="19">
        <f>Sheet1!M3</f>
        <v>95</v>
      </c>
      <c r="F3" s="19">
        <f>AVERAGE(C3:E3)</f>
        <v>75.261437908496731</v>
      </c>
      <c r="G3" s="37"/>
      <c r="H3" s="18" t="s">
        <v>60</v>
      </c>
      <c r="I3" s="19">
        <f>Sheet1!K7</f>
        <v>70</v>
      </c>
      <c r="J3" s="19">
        <f>Sheet1!L7</f>
        <v>100</v>
      </c>
      <c r="K3" s="19">
        <f>Sheet1!M7</f>
        <v>100</v>
      </c>
      <c r="L3" s="19">
        <f>AVERAGE(I3:K3)</f>
        <v>90</v>
      </c>
      <c r="N3" s="18" t="s">
        <v>60</v>
      </c>
      <c r="O3" s="19">
        <f>Sheet1!K9</f>
        <v>40</v>
      </c>
      <c r="P3" s="19">
        <f>Sheet1!L9</f>
        <v>70</v>
      </c>
      <c r="Q3" s="19">
        <f>Sheet1!M9</f>
        <v>90</v>
      </c>
      <c r="R3" s="19">
        <f>AVERAGE(O3:Q3)</f>
        <v>66.666666666666671</v>
      </c>
      <c r="T3" s="18" t="s">
        <v>60</v>
      </c>
      <c r="U3" s="19">
        <f t="shared" ref="U3:W4" si="0">SUM(C3,C8,C13,C18,C23,C28,C33)/7</f>
        <v>53.986390710130202</v>
      </c>
      <c r="V3" s="19">
        <f t="shared" si="0"/>
        <v>75.267066267066284</v>
      </c>
      <c r="W3" s="19">
        <f t="shared" si="0"/>
        <v>102.44897959183673</v>
      </c>
    </row>
    <row r="4" spans="2:23" x14ac:dyDescent="0.25">
      <c r="B4" s="18" t="s">
        <v>102</v>
      </c>
      <c r="C4" s="19">
        <f>Sheet1!K5</f>
        <v>1.1176470588235294</v>
      </c>
      <c r="D4" s="19">
        <f>Sheet1!L5</f>
        <v>1.6666666666666667</v>
      </c>
      <c r="E4" s="19">
        <f>Sheet1!M5</f>
        <v>1</v>
      </c>
      <c r="F4" s="19">
        <f>AVERAGE(C4:E4)</f>
        <v>1.261437908496732</v>
      </c>
      <c r="H4" s="18" t="s">
        <v>102</v>
      </c>
      <c r="I4" s="19">
        <f>Sheet1!K11</f>
        <v>2</v>
      </c>
      <c r="J4" s="19">
        <f>Sheet1!L11</f>
        <v>4</v>
      </c>
      <c r="K4" s="19">
        <f>Sheet1!M11</f>
        <v>2</v>
      </c>
      <c r="L4" s="19">
        <f>AVERAGE(I4:K4)</f>
        <v>2.6666666666666665</v>
      </c>
      <c r="N4" s="18" t="s">
        <v>102</v>
      </c>
      <c r="O4" s="19">
        <f>Sheet1!K13</f>
        <v>0</v>
      </c>
      <c r="P4" s="19">
        <f>Sheet1!L13</f>
        <v>0</v>
      </c>
      <c r="Q4" s="19">
        <f>Sheet1!M13</f>
        <v>0</v>
      </c>
      <c r="R4" s="19">
        <f>AVERAGE(O4:Q4)</f>
        <v>0</v>
      </c>
      <c r="T4" s="18" t="s">
        <v>102</v>
      </c>
      <c r="U4" s="19">
        <f t="shared" si="0"/>
        <v>1.1201513938908896</v>
      </c>
      <c r="V4" s="19">
        <f t="shared" si="0"/>
        <v>1.608139479568051</v>
      </c>
      <c r="W4" s="19">
        <f t="shared" si="0"/>
        <v>1.935034013605442</v>
      </c>
    </row>
    <row r="6" spans="2:23" ht="18.75" x14ac:dyDescent="0.25">
      <c r="B6" s="85" t="s">
        <v>103</v>
      </c>
      <c r="C6" s="85"/>
      <c r="D6" s="85"/>
      <c r="E6" s="85"/>
      <c r="F6" s="45"/>
      <c r="H6" s="85" t="s">
        <v>104</v>
      </c>
      <c r="I6" s="85"/>
      <c r="J6" s="85"/>
      <c r="K6" s="85"/>
      <c r="L6" s="45"/>
      <c r="N6" s="85" t="s">
        <v>105</v>
      </c>
      <c r="O6" s="85"/>
      <c r="P6" s="85"/>
      <c r="Q6" s="85"/>
      <c r="R6" s="45"/>
      <c r="T6" s="86" t="s">
        <v>284</v>
      </c>
      <c r="U6" s="87"/>
      <c r="V6" s="87"/>
      <c r="W6" s="88"/>
    </row>
    <row r="7" spans="2:23" ht="30" customHeight="1" x14ac:dyDescent="0.25">
      <c r="B7" s="7" t="s">
        <v>78</v>
      </c>
      <c r="C7" s="18" t="s">
        <v>25</v>
      </c>
      <c r="D7" s="18" t="s">
        <v>26</v>
      </c>
      <c r="E7" s="18" t="s">
        <v>27</v>
      </c>
      <c r="F7" s="18" t="s">
        <v>103</v>
      </c>
      <c r="H7" s="7" t="s">
        <v>78</v>
      </c>
      <c r="I7" s="18" t="s">
        <v>25</v>
      </c>
      <c r="J7" s="18" t="s">
        <v>26</v>
      </c>
      <c r="K7" s="18" t="s">
        <v>27</v>
      </c>
      <c r="L7" s="18" t="s">
        <v>103</v>
      </c>
      <c r="N7" s="7" t="s">
        <v>78</v>
      </c>
      <c r="O7" s="18" t="s">
        <v>25</v>
      </c>
      <c r="P7" s="18" t="s">
        <v>26</v>
      </c>
      <c r="Q7" s="18" t="s">
        <v>27</v>
      </c>
      <c r="R7" s="18" t="s">
        <v>103</v>
      </c>
      <c r="T7" s="14" t="s">
        <v>278</v>
      </c>
      <c r="U7" s="18" t="s">
        <v>25</v>
      </c>
      <c r="V7" s="18" t="s">
        <v>26</v>
      </c>
      <c r="W7" s="18" t="s">
        <v>27</v>
      </c>
    </row>
    <row r="8" spans="2:23" x14ac:dyDescent="0.25">
      <c r="B8" s="18" t="s">
        <v>60</v>
      </c>
      <c r="C8" s="19">
        <f>Sheet1!Y3</f>
        <v>60.666666666666664</v>
      </c>
      <c r="D8" s="19">
        <f>Sheet1!Z3</f>
        <v>78.181818181818187</v>
      </c>
      <c r="E8" s="19">
        <f>Sheet1!AA3</f>
        <v>108</v>
      </c>
      <c r="F8" s="19">
        <f>AVERAGE(C8:E8)</f>
        <v>82.282828282828277</v>
      </c>
      <c r="G8" s="37"/>
      <c r="H8" s="18" t="s">
        <v>60</v>
      </c>
      <c r="I8" s="19">
        <f>Sheet1!Y7</f>
        <v>100</v>
      </c>
      <c r="J8" s="19">
        <f>Sheet1!Z7</f>
        <v>90</v>
      </c>
      <c r="K8" s="19">
        <f>Sheet1!AA7</f>
        <v>120</v>
      </c>
      <c r="L8" s="19">
        <f>AVERAGE(I8:K8)</f>
        <v>103.33333333333333</v>
      </c>
      <c r="N8" s="18" t="s">
        <v>60</v>
      </c>
      <c r="O8" s="19">
        <f>MIN(Sheet1!V3:V39)</f>
        <v>30</v>
      </c>
      <c r="P8" s="19">
        <f>MIN(Sheet1!W3:W39)</f>
        <v>70</v>
      </c>
      <c r="Q8" s="19">
        <f>MIN(Sheet1!X3:X39)</f>
        <v>100</v>
      </c>
      <c r="R8" s="19">
        <f>AVERAGE(O8:Q8)</f>
        <v>66.666666666666671</v>
      </c>
      <c r="T8" s="18" t="s">
        <v>60</v>
      </c>
      <c r="U8" s="19">
        <f t="shared" ref="U8:W9" si="1">SUM(I3,I8,I13,I18,I23,I28,I33)/7</f>
        <v>81.428571428571431</v>
      </c>
      <c r="V8" s="19">
        <f t="shared" si="1"/>
        <v>91.428571428571431</v>
      </c>
      <c r="W8" s="19">
        <f t="shared" si="1"/>
        <v>112.85714285714286</v>
      </c>
    </row>
    <row r="9" spans="2:23" x14ac:dyDescent="0.25">
      <c r="B9" s="18" t="s">
        <v>102</v>
      </c>
      <c r="C9" s="19">
        <f>Sheet1!Y5</f>
        <v>1.4</v>
      </c>
      <c r="D9" s="19">
        <f>Sheet1!Z5</f>
        <v>1.8181818181818181</v>
      </c>
      <c r="E9" s="19">
        <f>Sheet1!AA5</f>
        <v>2.6</v>
      </c>
      <c r="F9" s="19">
        <f>AVERAGE(C9:E9)</f>
        <v>1.9393939393939394</v>
      </c>
      <c r="H9" s="18" t="s">
        <v>102</v>
      </c>
      <c r="I9" s="19">
        <f>Sheet1!Y11</f>
        <v>3</v>
      </c>
      <c r="J9" s="19">
        <f>Sheet1!Z11</f>
        <v>3</v>
      </c>
      <c r="K9" s="19">
        <f>Sheet1!AA11</f>
        <v>3</v>
      </c>
      <c r="L9" s="19">
        <f>AVERAGE(I9:K9)</f>
        <v>3</v>
      </c>
      <c r="N9" s="18" t="s">
        <v>102</v>
      </c>
      <c r="O9" s="19">
        <f>MIN(Sheet1!V41:V77)</f>
        <v>0</v>
      </c>
      <c r="P9" s="19">
        <f>MIN(Sheet1!W41:W77)</f>
        <v>1</v>
      </c>
      <c r="Q9" s="19">
        <f>MIN(Sheet1!X41:X77)</f>
        <v>2</v>
      </c>
      <c r="R9" s="19">
        <f>AVERAGE(O9:Q9)</f>
        <v>1</v>
      </c>
      <c r="T9" s="18" t="s">
        <v>102</v>
      </c>
      <c r="U9" s="19">
        <f t="shared" si="1"/>
        <v>2.2857142857142856</v>
      </c>
      <c r="V9" s="19">
        <f t="shared" si="1"/>
        <v>3</v>
      </c>
      <c r="W9" s="19">
        <f t="shared" si="1"/>
        <v>3</v>
      </c>
    </row>
    <row r="11" spans="2:23" ht="18.75" x14ac:dyDescent="0.25">
      <c r="B11" s="85" t="s">
        <v>103</v>
      </c>
      <c r="C11" s="85"/>
      <c r="D11" s="85"/>
      <c r="E11" s="85"/>
      <c r="F11" s="45"/>
      <c r="H11" s="85" t="s">
        <v>104</v>
      </c>
      <c r="I11" s="85"/>
      <c r="J11" s="85"/>
      <c r="K11" s="85"/>
      <c r="L11" s="45"/>
      <c r="N11" s="85" t="s">
        <v>105</v>
      </c>
      <c r="O11" s="85"/>
      <c r="P11" s="85"/>
      <c r="Q11" s="85"/>
      <c r="R11" s="45"/>
      <c r="T11" s="86" t="s">
        <v>285</v>
      </c>
      <c r="U11" s="87"/>
      <c r="V11" s="87"/>
      <c r="W11" s="88"/>
    </row>
    <row r="12" spans="2:23" ht="30" customHeight="1" x14ac:dyDescent="0.25">
      <c r="B12" s="8" t="s">
        <v>112</v>
      </c>
      <c r="C12" s="18" t="s">
        <v>25</v>
      </c>
      <c r="D12" s="18" t="s">
        <v>26</v>
      </c>
      <c r="E12" s="18" t="s">
        <v>27</v>
      </c>
      <c r="F12" s="18" t="s">
        <v>103</v>
      </c>
      <c r="H12" s="8" t="s">
        <v>112</v>
      </c>
      <c r="I12" s="18" t="s">
        <v>25</v>
      </c>
      <c r="J12" s="18" t="s">
        <v>26</v>
      </c>
      <c r="K12" s="18" t="s">
        <v>27</v>
      </c>
      <c r="L12" s="18" t="s">
        <v>103</v>
      </c>
      <c r="N12" s="8" t="s">
        <v>112</v>
      </c>
      <c r="O12" s="18" t="s">
        <v>25</v>
      </c>
      <c r="P12" s="18" t="s">
        <v>26</v>
      </c>
      <c r="Q12" s="18" t="s">
        <v>27</v>
      </c>
      <c r="R12" s="18" t="s">
        <v>103</v>
      </c>
      <c r="T12" s="14" t="s">
        <v>278</v>
      </c>
      <c r="U12" s="18" t="s">
        <v>25</v>
      </c>
      <c r="V12" s="18" t="s">
        <v>26</v>
      </c>
      <c r="W12" s="18" t="s">
        <v>27</v>
      </c>
    </row>
    <row r="13" spans="2:23" x14ac:dyDescent="0.25">
      <c r="B13" s="18" t="s">
        <v>60</v>
      </c>
      <c r="C13" s="19">
        <f>Sheet1!AM3</f>
        <v>54.285714285714285</v>
      </c>
      <c r="D13" s="19">
        <f>Sheet1!AN3</f>
        <v>75.714285714285708</v>
      </c>
      <c r="E13" s="19">
        <f>Sheet1!AO3</f>
        <v>104</v>
      </c>
      <c r="F13" s="19">
        <f>AVERAGE(C13:E13)</f>
        <v>78</v>
      </c>
      <c r="G13" s="37"/>
      <c r="H13" s="18" t="s">
        <v>60</v>
      </c>
      <c r="I13" s="19">
        <f>MAX(Sheet1!AJ3:AJ39)</f>
        <v>80</v>
      </c>
      <c r="J13" s="19">
        <f>MAX(Sheet1!AK3:AK39)</f>
        <v>90</v>
      </c>
      <c r="K13" s="19">
        <f>MAX(Sheet1!AL3:AL39)</f>
        <v>110</v>
      </c>
      <c r="L13" s="19">
        <f>AVERAGE(I13:K13)</f>
        <v>93.333333333333329</v>
      </c>
      <c r="N13" s="18" t="s">
        <v>60</v>
      </c>
      <c r="O13" s="19">
        <f>MIN(Sheet1!AJ3:AJ39)</f>
        <v>40</v>
      </c>
      <c r="P13" s="19">
        <f>MIN(Sheet1!AK3:AK39)</f>
        <v>60</v>
      </c>
      <c r="Q13" s="19">
        <f>MIN(Sheet1!AL3:AL39)</f>
        <v>90</v>
      </c>
      <c r="R13" s="19">
        <f>AVERAGE(O13:Q13)</f>
        <v>63.333333333333336</v>
      </c>
      <c r="T13" s="18" t="s">
        <v>60</v>
      </c>
      <c r="U13" s="19">
        <f t="shared" ref="U13:W14" si="2">SUM(O3,O8,O13,O18,O23,O28,O33)/7</f>
        <v>32.857142857142854</v>
      </c>
      <c r="V13" s="19">
        <f t="shared" si="2"/>
        <v>65.714285714285708</v>
      </c>
      <c r="W13" s="19">
        <f t="shared" si="2"/>
        <v>94.285714285714292</v>
      </c>
    </row>
    <row r="14" spans="2:23" x14ac:dyDescent="0.25">
      <c r="B14" s="18" t="s">
        <v>102</v>
      </c>
      <c r="C14" s="19">
        <f>Sheet1!AM5</f>
        <v>1.0714285714285714</v>
      </c>
      <c r="D14" s="19">
        <f>Sheet1!AN5</f>
        <v>1.5714285714285714</v>
      </c>
      <c r="E14" s="19">
        <f>Sheet1!AO5</f>
        <v>2</v>
      </c>
      <c r="F14" s="19">
        <f>AVERAGE(C14:E14)</f>
        <v>1.5476190476190474</v>
      </c>
      <c r="H14" s="18" t="s">
        <v>102</v>
      </c>
      <c r="I14" s="19">
        <f>MAX(Sheet1!AJ41:AJ77)</f>
        <v>2</v>
      </c>
      <c r="J14" s="19">
        <f>MAX(Sheet1!AK41:AK77)</f>
        <v>3</v>
      </c>
      <c r="K14" s="19">
        <f>MAX(Sheet1!AL41:AL77)</f>
        <v>3</v>
      </c>
      <c r="L14" s="19">
        <f>AVERAGE(I14:K14)</f>
        <v>2.6666666666666665</v>
      </c>
      <c r="N14" s="18" t="s">
        <v>102</v>
      </c>
      <c r="O14" s="19">
        <f>MIN(Sheet1!AJ41:AJ77)</f>
        <v>0</v>
      </c>
      <c r="P14" s="19">
        <f>MIN(Sheet1!AK41:AK77)</f>
        <v>1</v>
      </c>
      <c r="Q14" s="19">
        <f>MIN(Sheet1!AL41:AL77)</f>
        <v>1</v>
      </c>
      <c r="R14" s="19">
        <f>AVERAGE(O14:Q14)</f>
        <v>0.66666666666666663</v>
      </c>
      <c r="T14" s="18" t="s">
        <v>102</v>
      </c>
      <c r="U14" s="19">
        <f t="shared" si="2"/>
        <v>0</v>
      </c>
      <c r="V14" s="19">
        <f t="shared" si="2"/>
        <v>0.5714285714285714</v>
      </c>
      <c r="W14" s="19">
        <f t="shared" si="2"/>
        <v>0.8571428571428571</v>
      </c>
    </row>
    <row r="16" spans="2:23" ht="18.75" x14ac:dyDescent="0.25">
      <c r="B16" s="85" t="s">
        <v>103</v>
      </c>
      <c r="C16" s="85"/>
      <c r="D16" s="85"/>
      <c r="E16" s="85"/>
      <c r="F16" s="45"/>
      <c r="H16" s="85" t="s">
        <v>104</v>
      </c>
      <c r="I16" s="85"/>
      <c r="J16" s="85"/>
      <c r="K16" s="85"/>
      <c r="L16" s="45"/>
      <c r="N16" s="85" t="s">
        <v>105</v>
      </c>
      <c r="O16" s="85"/>
      <c r="P16" s="85"/>
      <c r="Q16" s="85"/>
      <c r="R16" s="45"/>
      <c r="T16" s="86" t="s">
        <v>286</v>
      </c>
      <c r="U16" s="87"/>
      <c r="V16" s="87"/>
      <c r="W16" s="88"/>
    </row>
    <row r="17" spans="2:23" ht="30" x14ac:dyDescent="0.25">
      <c r="B17" s="20" t="s">
        <v>146</v>
      </c>
      <c r="C17" s="18" t="s">
        <v>25</v>
      </c>
      <c r="D17" s="18" t="s">
        <v>26</v>
      </c>
      <c r="E17" s="18" t="s">
        <v>27</v>
      </c>
      <c r="F17" s="18" t="s">
        <v>103</v>
      </c>
      <c r="H17" s="20" t="s">
        <v>146</v>
      </c>
      <c r="I17" s="18" t="s">
        <v>25</v>
      </c>
      <c r="J17" s="18" t="s">
        <v>26</v>
      </c>
      <c r="K17" s="18" t="s">
        <v>27</v>
      </c>
      <c r="L17" s="18" t="s">
        <v>103</v>
      </c>
      <c r="N17" s="20" t="s">
        <v>146</v>
      </c>
      <c r="O17" s="18" t="s">
        <v>25</v>
      </c>
      <c r="P17" s="18" t="s">
        <v>26</v>
      </c>
      <c r="Q17" s="18" t="s">
        <v>27</v>
      </c>
      <c r="R17" s="18" t="s">
        <v>103</v>
      </c>
      <c r="T17" s="14" t="s">
        <v>278</v>
      </c>
      <c r="U17" s="18" t="s">
        <v>25</v>
      </c>
      <c r="V17" s="18" t="s">
        <v>26</v>
      </c>
      <c r="W17" s="18" t="s">
        <v>27</v>
      </c>
    </row>
    <row r="18" spans="2:23" x14ac:dyDescent="0.25">
      <c r="B18" s="18" t="s">
        <v>60</v>
      </c>
      <c r="C18" s="19">
        <f>Sheet1!BA3</f>
        <v>53.333333333333336</v>
      </c>
      <c r="D18" s="19">
        <f>Sheet1!BB3</f>
        <v>73</v>
      </c>
      <c r="E18" s="19">
        <f>Sheet1!BC3</f>
        <v>105</v>
      </c>
      <c r="F18" s="19">
        <f>AVERAGE(C18:E18)</f>
        <v>77.111111111111114</v>
      </c>
      <c r="G18" s="37"/>
      <c r="H18" s="18" t="s">
        <v>60</v>
      </c>
      <c r="I18" s="19">
        <f>MAX(Sheet1!AX3:AX39)</f>
        <v>90</v>
      </c>
      <c r="J18" s="19">
        <f>MAX(Sheet1!AY3:AY39)</f>
        <v>90</v>
      </c>
      <c r="K18" s="19">
        <f>MAX(Sheet1!AZ3:AZ39)</f>
        <v>110</v>
      </c>
      <c r="L18" s="19">
        <f>AVERAGE(I18:K18)</f>
        <v>96.666666666666671</v>
      </c>
      <c r="N18" s="18" t="s">
        <v>60</v>
      </c>
      <c r="O18" s="19">
        <f>MIN(Sheet1!AX3:AX39)</f>
        <v>30</v>
      </c>
      <c r="P18" s="19">
        <f>MIN(Sheet1!AY3:AY39)</f>
        <v>70</v>
      </c>
      <c r="Q18" s="19">
        <f>MIN(Sheet1!AZ3:AZ39)</f>
        <v>100</v>
      </c>
      <c r="R18" s="19">
        <f>AVERAGE(O18:Q18)</f>
        <v>66.666666666666671</v>
      </c>
      <c r="T18" s="13">
        <f>SUM(U18:W18)</f>
        <v>231</v>
      </c>
      <c r="U18" s="13">
        <f>SUM(Sheet1!G4,Sheet1!U4,Sheet1!AI4,Sheet1!AW4,Sheet1!BK4,Sheet1!BY4,Sheet1!CM4)</f>
        <v>107</v>
      </c>
      <c r="V18" s="13">
        <f>SUM(Sheet1!G5,Sheet1!U5,Sheet1!AI5,Sheet1!AW5,Sheet1!BK5,Sheet1!BY5,Sheet1!CM5)</f>
        <v>88</v>
      </c>
      <c r="W18" s="13">
        <f>SUM(Sheet1!G6,Sheet1!U6,Sheet1!AI6,Sheet1!AW6,Sheet1!BK6,Sheet1!BY6,Sheet1!CM6)</f>
        <v>36</v>
      </c>
    </row>
    <row r="19" spans="2:23" x14ac:dyDescent="0.25">
      <c r="B19" s="18" t="s">
        <v>102</v>
      </c>
      <c r="C19" s="19">
        <f>Sheet1!BA5</f>
        <v>1.0555555555555556</v>
      </c>
      <c r="D19" s="19">
        <f>Sheet1!BB5</f>
        <v>1.4</v>
      </c>
      <c r="E19" s="19">
        <f>Sheet1!BC5</f>
        <v>1.75</v>
      </c>
      <c r="F19" s="19">
        <f>AVERAGE(C19:E19)</f>
        <v>1.4018518518518519</v>
      </c>
      <c r="H19" s="18" t="s">
        <v>102</v>
      </c>
      <c r="I19" s="19">
        <f>MAX(Sheet1!AX41:AX77)</f>
        <v>3</v>
      </c>
      <c r="J19" s="19">
        <f>MAX(Sheet1!AY41:AY77)</f>
        <v>3</v>
      </c>
      <c r="K19" s="19">
        <f>MAX(Sheet1!AZ41:AZ77)</f>
        <v>3</v>
      </c>
      <c r="L19" s="19">
        <f>AVERAGE(I19:K19)</f>
        <v>3</v>
      </c>
      <c r="N19" s="18" t="s">
        <v>102</v>
      </c>
      <c r="O19" s="19">
        <f>MIN(Sheet1!AX41:AX77)</f>
        <v>0</v>
      </c>
      <c r="P19" s="19">
        <f>MIN(Sheet1!AY41:AY77)</f>
        <v>1</v>
      </c>
      <c r="Q19" s="19">
        <f>MIN(Sheet1!AZ41:AZ77)</f>
        <v>1</v>
      </c>
      <c r="R19" s="19">
        <f>AVERAGE(O19:Q19)</f>
        <v>0.66666666666666663</v>
      </c>
      <c r="U19" s="37">
        <f>U18/$T$18</f>
        <v>0.46320346320346323</v>
      </c>
      <c r="V19" s="37">
        <f>V18/$T$18</f>
        <v>0.38095238095238093</v>
      </c>
      <c r="W19" s="37">
        <f>W18/$T$18</f>
        <v>0.15584415584415584</v>
      </c>
    </row>
    <row r="21" spans="2:23" ht="18.75" x14ac:dyDescent="0.25">
      <c r="B21" s="85" t="s">
        <v>103</v>
      </c>
      <c r="C21" s="85"/>
      <c r="D21" s="85"/>
      <c r="E21" s="85"/>
      <c r="F21" s="45"/>
      <c r="H21" s="85" t="s">
        <v>104</v>
      </c>
      <c r="I21" s="85"/>
      <c r="J21" s="85"/>
      <c r="K21" s="85"/>
      <c r="L21" s="45"/>
      <c r="N21" s="85" t="s">
        <v>105</v>
      </c>
      <c r="O21" s="85"/>
      <c r="P21" s="85"/>
      <c r="Q21" s="85"/>
      <c r="R21" s="45"/>
    </row>
    <row r="22" spans="2:23" ht="30" x14ac:dyDescent="0.25">
      <c r="B22" s="21" t="s">
        <v>177</v>
      </c>
      <c r="C22" s="18" t="s">
        <v>25</v>
      </c>
      <c r="D22" s="18" t="s">
        <v>26</v>
      </c>
      <c r="E22" s="18" t="s">
        <v>27</v>
      </c>
      <c r="F22" s="18" t="s">
        <v>103</v>
      </c>
      <c r="H22" s="21" t="s">
        <v>177</v>
      </c>
      <c r="I22" s="18" t="s">
        <v>25</v>
      </c>
      <c r="J22" s="18" t="s">
        <v>26</v>
      </c>
      <c r="K22" s="18" t="s">
        <v>27</v>
      </c>
      <c r="L22" s="18" t="s">
        <v>103</v>
      </c>
      <c r="N22" s="21" t="s">
        <v>177</v>
      </c>
      <c r="O22" s="18" t="s">
        <v>25</v>
      </c>
      <c r="P22" s="18" t="s">
        <v>26</v>
      </c>
      <c r="Q22" s="18" t="s">
        <v>27</v>
      </c>
      <c r="R22" s="18" t="s">
        <v>103</v>
      </c>
    </row>
    <row r="23" spans="2:23" x14ac:dyDescent="0.25">
      <c r="B23" s="18" t="s">
        <v>60</v>
      </c>
      <c r="C23" s="19">
        <f>Sheet1!BO3</f>
        <v>52.857142857142854</v>
      </c>
      <c r="D23" s="19">
        <f>Sheet1!BP3</f>
        <v>75.384615384615387</v>
      </c>
      <c r="E23" s="19">
        <f>Sheet1!BQ3</f>
        <v>107.14285714285714</v>
      </c>
      <c r="F23" s="19">
        <f>AVERAGE(C23:E23)</f>
        <v>78.461538461538467</v>
      </c>
      <c r="G23" s="37"/>
      <c r="H23" s="18" t="s">
        <v>60</v>
      </c>
      <c r="I23" s="19">
        <f>MAX(Sheet1!BL3:BL39)</f>
        <v>70</v>
      </c>
      <c r="J23" s="19">
        <f>MAX(Sheet1!BM3:BM39)</f>
        <v>100</v>
      </c>
      <c r="K23" s="19">
        <f>MAX(Sheet1!BN3:BN39)</f>
        <v>120</v>
      </c>
      <c r="L23" s="19">
        <f>AVERAGE(I23:K23)</f>
        <v>96.666666666666671</v>
      </c>
      <c r="N23" s="18" t="s">
        <v>60</v>
      </c>
      <c r="O23" s="19">
        <f>MIN(Sheet1!BL3:BL39)</f>
        <v>30</v>
      </c>
      <c r="P23" s="19">
        <f>MIN(Sheet1!BM3:BM39)</f>
        <v>60</v>
      </c>
      <c r="Q23" s="19">
        <f>MIN(Sheet1!BN3:BN39)</f>
        <v>100</v>
      </c>
      <c r="R23" s="19">
        <f>AVERAGE(O23:Q23)</f>
        <v>63.333333333333336</v>
      </c>
    </row>
    <row r="24" spans="2:23" x14ac:dyDescent="0.25">
      <c r="B24" s="18" t="s">
        <v>102</v>
      </c>
      <c r="C24" s="19">
        <f>Sheet1!BO5</f>
        <v>1.0714285714285714</v>
      </c>
      <c r="D24" s="19">
        <f>Sheet1!BP5</f>
        <v>1.8461538461538463</v>
      </c>
      <c r="E24" s="19">
        <f>Sheet1!BQ5</f>
        <v>2.4285714285714284</v>
      </c>
      <c r="F24" s="19">
        <f>AVERAGE(C24:E24)</f>
        <v>1.7820512820512822</v>
      </c>
      <c r="H24" s="18" t="s">
        <v>102</v>
      </c>
      <c r="I24" s="19">
        <f>MAX(Sheet1!BL41:BL77)</f>
        <v>2</v>
      </c>
      <c r="J24" s="19">
        <f>MAX(Sheet1!BM41:BM77)</f>
        <v>3</v>
      </c>
      <c r="K24" s="19">
        <f>MAX(Sheet1!BN41:BN77)</f>
        <v>4</v>
      </c>
      <c r="L24" s="19">
        <f>AVERAGE(I24:K24)</f>
        <v>3</v>
      </c>
      <c r="N24" s="18" t="s">
        <v>102</v>
      </c>
      <c r="O24" s="19">
        <f>MIN(Sheet1!BL41:BL77)</f>
        <v>0</v>
      </c>
      <c r="P24" s="19">
        <f>MIN(Sheet1!BM41:BM77)</f>
        <v>1</v>
      </c>
      <c r="Q24" s="19">
        <f>MIN(Sheet1!BN41:BN77)</f>
        <v>1</v>
      </c>
      <c r="R24" s="19">
        <f>AVERAGE(O24:Q24)</f>
        <v>0.66666666666666663</v>
      </c>
    </row>
    <row r="26" spans="2:23" ht="18.75" x14ac:dyDescent="0.25">
      <c r="B26" s="85" t="s">
        <v>103</v>
      </c>
      <c r="C26" s="85"/>
      <c r="D26" s="85"/>
      <c r="E26" s="85"/>
      <c r="F26" s="45"/>
      <c r="H26" s="85" t="s">
        <v>104</v>
      </c>
      <c r="I26" s="85"/>
      <c r="J26" s="85"/>
      <c r="K26" s="85"/>
      <c r="L26" s="45"/>
      <c r="N26" s="85" t="s">
        <v>105</v>
      </c>
      <c r="O26" s="85"/>
      <c r="P26" s="85"/>
      <c r="Q26" s="85"/>
      <c r="R26" s="45"/>
    </row>
    <row r="27" spans="2:23" ht="30" x14ac:dyDescent="0.25">
      <c r="B27" s="10" t="s">
        <v>208</v>
      </c>
      <c r="C27" s="18" t="s">
        <v>25</v>
      </c>
      <c r="D27" s="18" t="s">
        <v>26</v>
      </c>
      <c r="E27" s="18" t="s">
        <v>27</v>
      </c>
      <c r="F27" s="18" t="s">
        <v>103</v>
      </c>
      <c r="H27" s="10" t="s">
        <v>208</v>
      </c>
      <c r="I27" s="18" t="s">
        <v>25</v>
      </c>
      <c r="J27" s="18" t="s">
        <v>26</v>
      </c>
      <c r="K27" s="18" t="s">
        <v>27</v>
      </c>
      <c r="L27" s="18" t="s">
        <v>103</v>
      </c>
      <c r="N27" s="10" t="s">
        <v>208</v>
      </c>
      <c r="O27" s="18" t="s">
        <v>25</v>
      </c>
      <c r="P27" s="18" t="s">
        <v>26</v>
      </c>
      <c r="Q27" s="18" t="s">
        <v>27</v>
      </c>
      <c r="R27" s="18" t="s">
        <v>103</v>
      </c>
    </row>
    <row r="28" spans="2:23" x14ac:dyDescent="0.25">
      <c r="B28" s="18" t="s">
        <v>60</v>
      </c>
      <c r="C28" s="19">
        <f>Sheet1!CC3</f>
        <v>51.875</v>
      </c>
      <c r="D28" s="19">
        <f>Sheet1!CD3</f>
        <v>73.63636363636364</v>
      </c>
      <c r="E28" s="19">
        <f>Sheet1!CE3</f>
        <v>100</v>
      </c>
      <c r="F28" s="19">
        <f>AVERAGE(C28:E28)</f>
        <v>75.170454545454547</v>
      </c>
      <c r="G28" s="37"/>
      <c r="H28" s="18" t="s">
        <v>60</v>
      </c>
      <c r="I28" s="19">
        <f>Sheet1!CC7</f>
        <v>80</v>
      </c>
      <c r="J28" s="19">
        <f>Sheet1!CD7</f>
        <v>80</v>
      </c>
      <c r="K28" s="19">
        <f>Sheet1!CE7</f>
        <v>120</v>
      </c>
      <c r="L28" s="19">
        <f>AVERAGE(I28:K28)</f>
        <v>93.333333333333329</v>
      </c>
      <c r="N28" s="18" t="s">
        <v>60</v>
      </c>
      <c r="O28" s="19">
        <f>Sheet1!CC9</f>
        <v>30</v>
      </c>
      <c r="P28" s="19">
        <f>Sheet1!CD9</f>
        <v>70</v>
      </c>
      <c r="Q28" s="19">
        <f>Sheet1!CE9</f>
        <v>90</v>
      </c>
      <c r="R28" s="19">
        <f>AVERAGE(O28:Q28)</f>
        <v>63.333333333333336</v>
      </c>
    </row>
    <row r="29" spans="2:23" x14ac:dyDescent="0.25">
      <c r="B29" s="18" t="s">
        <v>102</v>
      </c>
      <c r="C29" s="19">
        <f>Sheet1!CC5</f>
        <v>1.125</v>
      </c>
      <c r="D29" s="19">
        <f>Sheet1!CD5</f>
        <v>1.4545454545454546</v>
      </c>
      <c r="E29" s="19">
        <f>Sheet1!CE5</f>
        <v>2.1666666666666665</v>
      </c>
      <c r="F29" s="19">
        <f>AVERAGE(C29:E29)</f>
        <v>1.582070707070707</v>
      </c>
      <c r="H29" s="18" t="s">
        <v>102</v>
      </c>
      <c r="I29" s="19">
        <f>Sheet1!CC11</f>
        <v>2</v>
      </c>
      <c r="J29" s="19">
        <f>Sheet1!CD11</f>
        <v>2</v>
      </c>
      <c r="K29" s="19">
        <f>Sheet1!CE11</f>
        <v>3</v>
      </c>
      <c r="L29" s="19">
        <f>AVERAGE(I29:K29)</f>
        <v>2.3333333333333335</v>
      </c>
      <c r="N29" s="18" t="s">
        <v>102</v>
      </c>
      <c r="O29" s="19">
        <f>Sheet1!CC13</f>
        <v>0</v>
      </c>
      <c r="P29" s="19">
        <f>Sheet1!CD13</f>
        <v>0</v>
      </c>
      <c r="Q29" s="19">
        <f>Sheet1!CE13</f>
        <v>1</v>
      </c>
      <c r="R29" s="19">
        <f>AVERAGE(O29:Q29)</f>
        <v>0.33333333333333331</v>
      </c>
    </row>
    <row r="31" spans="2:23" ht="18.75" x14ac:dyDescent="0.25">
      <c r="B31" s="85" t="s">
        <v>103</v>
      </c>
      <c r="C31" s="85"/>
      <c r="D31" s="85"/>
      <c r="E31" s="85"/>
      <c r="F31" s="45"/>
      <c r="H31" s="85" t="s">
        <v>104</v>
      </c>
      <c r="I31" s="85"/>
      <c r="J31" s="85"/>
      <c r="K31" s="85"/>
      <c r="L31" s="45"/>
      <c r="N31" s="85" t="s">
        <v>105</v>
      </c>
      <c r="O31" s="85"/>
      <c r="P31" s="85"/>
      <c r="Q31" s="85"/>
      <c r="R31" s="45"/>
    </row>
    <row r="32" spans="2:23" ht="30" x14ac:dyDescent="0.25">
      <c r="B32" s="27" t="s">
        <v>248</v>
      </c>
      <c r="C32" s="18" t="s">
        <v>25</v>
      </c>
      <c r="D32" s="18" t="s">
        <v>26</v>
      </c>
      <c r="E32" s="18" t="s">
        <v>27</v>
      </c>
      <c r="F32" s="18" t="s">
        <v>103</v>
      </c>
      <c r="H32" s="27" t="s">
        <v>248</v>
      </c>
      <c r="I32" s="18" t="s">
        <v>25</v>
      </c>
      <c r="J32" s="18" t="s">
        <v>26</v>
      </c>
      <c r="K32" s="18" t="s">
        <v>27</v>
      </c>
      <c r="L32" s="18" t="s">
        <v>103</v>
      </c>
      <c r="N32" s="27" t="s">
        <v>248</v>
      </c>
      <c r="O32" s="18" t="s">
        <v>25</v>
      </c>
      <c r="P32" s="18" t="s">
        <v>26</v>
      </c>
      <c r="Q32" s="18" t="s">
        <v>27</v>
      </c>
      <c r="R32" s="18" t="s">
        <v>103</v>
      </c>
    </row>
    <row r="33" spans="2:18" x14ac:dyDescent="0.25">
      <c r="B33" s="18" t="s">
        <v>60</v>
      </c>
      <c r="C33" s="19">
        <f>Sheet1!CQ3</f>
        <v>50.769230769230766</v>
      </c>
      <c r="D33" s="19">
        <f>Sheet1!CR3</f>
        <v>74.285714285714292</v>
      </c>
      <c r="E33" s="19">
        <f>Sheet1!CS3</f>
        <v>98</v>
      </c>
      <c r="F33" s="19">
        <f>AVERAGE(C33:E33)</f>
        <v>74.35164835164835</v>
      </c>
      <c r="G33" s="37"/>
      <c r="H33" s="18" t="s">
        <v>60</v>
      </c>
      <c r="I33" s="19">
        <f>Sheet1!CQ7</f>
        <v>80</v>
      </c>
      <c r="J33" s="19">
        <f>Sheet1!CR7</f>
        <v>90</v>
      </c>
      <c r="K33" s="19">
        <f>Sheet1!CS7</f>
        <v>110</v>
      </c>
      <c r="L33" s="19">
        <f>AVERAGE(I33:K33)</f>
        <v>93.333333333333329</v>
      </c>
      <c r="N33" s="18" t="s">
        <v>60</v>
      </c>
      <c r="O33" s="19">
        <f>Sheet1!CQ9</f>
        <v>30</v>
      </c>
      <c r="P33" s="19">
        <f>Sheet1!CR9</f>
        <v>60</v>
      </c>
      <c r="Q33" s="19">
        <f>Sheet1!CS9</f>
        <v>90</v>
      </c>
      <c r="R33" s="19">
        <f>AVERAGE(O33:Q33)</f>
        <v>60</v>
      </c>
    </row>
    <row r="34" spans="2:18" x14ac:dyDescent="0.25">
      <c r="B34" s="18" t="s">
        <v>102</v>
      </c>
      <c r="C34" s="19">
        <f>Sheet1!CQ5</f>
        <v>1</v>
      </c>
      <c r="D34" s="19">
        <f>Sheet1!CR5</f>
        <v>1.5</v>
      </c>
      <c r="E34" s="19">
        <f>Sheet1!CS5</f>
        <v>1.6</v>
      </c>
      <c r="F34" s="19">
        <f>AVERAGE(C34:E34)</f>
        <v>1.3666666666666665</v>
      </c>
      <c r="H34" s="18" t="s">
        <v>102</v>
      </c>
      <c r="I34" s="19">
        <f>Sheet1!CQ11</f>
        <v>2</v>
      </c>
      <c r="J34" s="19">
        <f>Sheet1!CR11</f>
        <v>3</v>
      </c>
      <c r="K34" s="19">
        <f>Sheet1!CS11</f>
        <v>3</v>
      </c>
      <c r="L34" s="19">
        <f>AVERAGE(I34:K34)</f>
        <v>2.6666666666666665</v>
      </c>
      <c r="N34" s="18" t="s">
        <v>102</v>
      </c>
      <c r="O34" s="19">
        <f>Sheet1!CQ13</f>
        <v>0</v>
      </c>
      <c r="P34" s="19">
        <f>Sheet1!CR13</f>
        <v>0</v>
      </c>
      <c r="Q34" s="19">
        <f>Sheet1!CS13</f>
        <v>0</v>
      </c>
      <c r="R34" s="19">
        <f>AVERAGE(O34:Q34)</f>
        <v>0</v>
      </c>
    </row>
  </sheetData>
  <mergeCells count="25">
    <mergeCell ref="B31:E31"/>
    <mergeCell ref="H31:K31"/>
    <mergeCell ref="N31:Q31"/>
    <mergeCell ref="T1:W1"/>
    <mergeCell ref="T6:W6"/>
    <mergeCell ref="T11:W11"/>
    <mergeCell ref="T16:W16"/>
    <mergeCell ref="B26:E26"/>
    <mergeCell ref="H26:K26"/>
    <mergeCell ref="N26:Q26"/>
    <mergeCell ref="N16:Q16"/>
    <mergeCell ref="B21:E21"/>
    <mergeCell ref="H21:K21"/>
    <mergeCell ref="N21:Q21"/>
    <mergeCell ref="B11:E11"/>
    <mergeCell ref="H11:K11"/>
    <mergeCell ref="N11:Q11"/>
    <mergeCell ref="B16:E16"/>
    <mergeCell ref="H16:K16"/>
    <mergeCell ref="B1:E1"/>
    <mergeCell ref="H1:K1"/>
    <mergeCell ref="N1:Q1"/>
    <mergeCell ref="B6:E6"/>
    <mergeCell ref="H6:K6"/>
    <mergeCell ref="N6:Q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96A5-5C1C-4A3D-8D45-A04B1F8ABF2F}">
  <dimension ref="B2:M9"/>
  <sheetViews>
    <sheetView workbookViewId="0">
      <selection activeCell="B9" sqref="B9"/>
    </sheetView>
  </sheetViews>
  <sheetFormatPr defaultRowHeight="15" x14ac:dyDescent="0.25"/>
  <sheetData>
    <row r="2" spans="2:13" x14ac:dyDescent="0.25">
      <c r="B2" s="14"/>
      <c r="C2" s="14" t="s">
        <v>294</v>
      </c>
      <c r="D2" s="43" t="s">
        <v>295</v>
      </c>
    </row>
    <row r="3" spans="2:13" x14ac:dyDescent="0.25">
      <c r="B3" s="6" t="s">
        <v>303</v>
      </c>
      <c r="C3" s="14">
        <f>Sheet5!H3</f>
        <v>0</v>
      </c>
      <c r="D3" s="14">
        <f>Sheet5!I3</f>
        <v>5</v>
      </c>
      <c r="F3" s="7" t="s">
        <v>297</v>
      </c>
      <c r="G3" s="44" cm="1">
        <f t="array" ref="G3:G9">_xlfn._xlws.SORT(C3:C9,,-1)</f>
        <v>23</v>
      </c>
      <c r="I3" s="7" t="s">
        <v>297</v>
      </c>
      <c r="J3" s="44" cm="1">
        <f t="array" ref="J3:J9">_xlfn._xlws.SORT(D3:D9,,)</f>
        <v>1</v>
      </c>
      <c r="L3">
        <f>AVERAGE(G3,J3)</f>
        <v>12</v>
      </c>
      <c r="M3" cm="1">
        <f t="array" ref="M3:M9">_xlfn._xlws.SORT(L3:L9,,-1)</f>
        <v>12</v>
      </c>
    </row>
    <row r="4" spans="2:13" ht="30" x14ac:dyDescent="0.25">
      <c r="B4" s="7" t="s">
        <v>297</v>
      </c>
      <c r="C4" s="14">
        <f>Sheet5!H8</f>
        <v>23</v>
      </c>
      <c r="D4" s="14">
        <f>Sheet5!I8</f>
        <v>1</v>
      </c>
      <c r="F4" s="4" t="s">
        <v>300</v>
      </c>
      <c r="G4" s="44">
        <v>4</v>
      </c>
      <c r="I4" s="27" t="s">
        <v>299</v>
      </c>
      <c r="J4" s="44">
        <v>1</v>
      </c>
      <c r="L4">
        <f>AVERAGE(G4,J5)</f>
        <v>3</v>
      </c>
      <c r="M4">
        <v>6</v>
      </c>
    </row>
    <row r="5" spans="2:13" ht="30" x14ac:dyDescent="0.25">
      <c r="B5" s="8" t="s">
        <v>298</v>
      </c>
      <c r="C5" s="14">
        <f>Sheet5!H13</f>
        <v>3</v>
      </c>
      <c r="D5" s="14">
        <f>Sheet5!I13</f>
        <v>9</v>
      </c>
      <c r="F5" s="8" t="s">
        <v>298</v>
      </c>
      <c r="G5" s="44">
        <v>3</v>
      </c>
      <c r="I5" s="4" t="s">
        <v>300</v>
      </c>
      <c r="J5" s="44">
        <v>2</v>
      </c>
      <c r="L5">
        <f>AVERAGE(G5,J9)</f>
        <v>6</v>
      </c>
      <c r="M5">
        <v>4.5</v>
      </c>
    </row>
    <row r="6" spans="2:13" ht="30" x14ac:dyDescent="0.25">
      <c r="B6" s="4" t="s">
        <v>300</v>
      </c>
      <c r="C6" s="14">
        <f>Sheet5!H18</f>
        <v>4</v>
      </c>
      <c r="D6" s="14">
        <f>Sheet5!I18</f>
        <v>2</v>
      </c>
      <c r="F6" s="22" t="s">
        <v>304</v>
      </c>
      <c r="G6" s="44">
        <v>3</v>
      </c>
      <c r="I6" s="22" t="s">
        <v>304</v>
      </c>
      <c r="J6" s="44">
        <v>2</v>
      </c>
      <c r="L6">
        <f>AVERAGE(G6,J6)</f>
        <v>2.5</v>
      </c>
      <c r="M6">
        <v>3</v>
      </c>
    </row>
    <row r="7" spans="2:13" ht="30" x14ac:dyDescent="0.25">
      <c r="B7" s="21" t="s">
        <v>302</v>
      </c>
      <c r="C7" s="14">
        <f>Sheet5!L3</f>
        <v>2</v>
      </c>
      <c r="D7" s="14">
        <f>Sheet5!M3</f>
        <v>7</v>
      </c>
      <c r="F7" s="21" t="s">
        <v>302</v>
      </c>
      <c r="G7" s="44">
        <v>2</v>
      </c>
      <c r="I7" s="6" t="s">
        <v>303</v>
      </c>
      <c r="J7" s="44">
        <v>5</v>
      </c>
      <c r="L7">
        <f>AVERAGE(G7,J8)</f>
        <v>4.5</v>
      </c>
      <c r="M7">
        <v>2.5</v>
      </c>
    </row>
    <row r="8" spans="2:13" ht="30" x14ac:dyDescent="0.25">
      <c r="B8" s="22" t="s">
        <v>304</v>
      </c>
      <c r="C8" s="14">
        <f>Sheet5!L8</f>
        <v>3</v>
      </c>
      <c r="D8" s="14">
        <f>Sheet5!M8</f>
        <v>2</v>
      </c>
      <c r="F8" s="27" t="s">
        <v>299</v>
      </c>
      <c r="G8" s="44">
        <v>1</v>
      </c>
      <c r="I8" s="21" t="s">
        <v>302</v>
      </c>
      <c r="J8" s="44">
        <v>7</v>
      </c>
      <c r="L8">
        <f>AVERAGE(G8,J4)</f>
        <v>1</v>
      </c>
      <c r="M8">
        <v>2.5</v>
      </c>
    </row>
    <row r="9" spans="2:13" ht="30" x14ac:dyDescent="0.25">
      <c r="B9" s="27" t="s">
        <v>299</v>
      </c>
      <c r="C9" s="14">
        <f>Sheet5!L13</f>
        <v>1</v>
      </c>
      <c r="D9" s="14">
        <f>Sheet5!M13</f>
        <v>1</v>
      </c>
      <c r="F9" s="6" t="s">
        <v>303</v>
      </c>
      <c r="G9" s="44">
        <v>0</v>
      </c>
      <c r="I9" s="8" t="s">
        <v>298</v>
      </c>
      <c r="J9" s="44">
        <v>9</v>
      </c>
      <c r="L9">
        <f>AVERAGE(G9,J7)</f>
        <v>2.5</v>
      </c>
      <c r="M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F599-5854-409A-A223-4A38C62A181C}">
  <dimension ref="B2:AD49"/>
  <sheetViews>
    <sheetView topLeftCell="A22" workbookViewId="0">
      <selection activeCell="H31" sqref="H31"/>
    </sheetView>
  </sheetViews>
  <sheetFormatPr defaultRowHeight="15" x14ac:dyDescent="0.25"/>
  <cols>
    <col min="1" max="1" width="9.140625" style="13"/>
    <col min="2" max="2" width="11.42578125" style="13" bestFit="1" customWidth="1"/>
    <col min="3" max="3" width="9.140625" style="13"/>
    <col min="4" max="5" width="11.28515625" style="13" bestFit="1" customWidth="1"/>
    <col min="6" max="7" width="9.140625" style="13"/>
    <col min="8" max="8" width="10.85546875" style="13" bestFit="1" customWidth="1"/>
    <col min="9" max="9" width="9.140625" style="13"/>
    <col min="10" max="11" width="11.28515625" style="13" bestFit="1" customWidth="1"/>
    <col min="12" max="15" width="9.140625" style="13"/>
    <col min="16" max="16" width="11.28515625" style="13" bestFit="1" customWidth="1"/>
    <col min="17" max="19" width="9.140625" style="13"/>
    <col min="20" max="20" width="10.42578125" style="13" bestFit="1" customWidth="1"/>
    <col min="21" max="21" width="9.140625" style="13"/>
    <col min="22" max="23" width="11.28515625" style="13" bestFit="1" customWidth="1"/>
    <col min="24" max="16384" width="9.140625" style="13"/>
  </cols>
  <sheetData>
    <row r="2" spans="2:30" x14ac:dyDescent="0.25">
      <c r="C2" s="14" t="s">
        <v>9</v>
      </c>
      <c r="D2" s="14" t="s">
        <v>70</v>
      </c>
      <c r="E2" s="14" t="s">
        <v>71</v>
      </c>
      <c r="F2" s="14" t="s">
        <v>72</v>
      </c>
      <c r="G2" s="13" t="s">
        <v>73</v>
      </c>
      <c r="I2" s="14" t="s">
        <v>9</v>
      </c>
      <c r="J2" s="14" t="s">
        <v>70</v>
      </c>
      <c r="K2" s="14" t="s">
        <v>71</v>
      </c>
      <c r="L2" s="14" t="s">
        <v>72</v>
      </c>
      <c r="O2" s="14" t="s">
        <v>9</v>
      </c>
      <c r="P2" s="14" t="s">
        <v>70</v>
      </c>
      <c r="Q2" s="14" t="s">
        <v>71</v>
      </c>
      <c r="R2" s="14" t="s">
        <v>72</v>
      </c>
      <c r="U2" s="14" t="s">
        <v>9</v>
      </c>
      <c r="V2" s="14" t="s">
        <v>70</v>
      </c>
      <c r="W2" s="14" t="s">
        <v>71</v>
      </c>
      <c r="X2" s="14" t="s">
        <v>72</v>
      </c>
      <c r="AA2" s="14" t="s">
        <v>9</v>
      </c>
      <c r="AB2" s="14" t="s">
        <v>70</v>
      </c>
      <c r="AC2" s="14" t="s">
        <v>71</v>
      </c>
      <c r="AD2" s="14" t="s">
        <v>72</v>
      </c>
    </row>
    <row r="3" spans="2:30" x14ac:dyDescent="0.25">
      <c r="B3" s="14" t="s">
        <v>69</v>
      </c>
      <c r="C3" s="14">
        <f>SUM(B7:B47)+G3</f>
        <v>65</v>
      </c>
      <c r="D3" s="14">
        <f>C8+C13+C18+C23+C28+C33+C38+C43+C48</f>
        <v>23</v>
      </c>
      <c r="E3" s="14">
        <f>D8+D13+D18+D23+D28+D33+D38+D43+D48</f>
        <v>21</v>
      </c>
      <c r="F3" s="14">
        <f>E8+E13+E18+E23+E28+E33+E38+E43+E48</f>
        <v>11</v>
      </c>
      <c r="G3" s="13">
        <v>7</v>
      </c>
      <c r="H3" s="14" t="s">
        <v>74</v>
      </c>
      <c r="I3" s="14">
        <f>SUM(H7:H47)+M3</f>
        <v>63</v>
      </c>
      <c r="J3" s="14">
        <f>I8+I13+I18+I23+I28+I33+I38+I43+I48</f>
        <v>23</v>
      </c>
      <c r="K3" s="14">
        <f>J8+J13+J18+J23+J28+J33+J38+J43+J48</f>
        <v>24</v>
      </c>
      <c r="L3" s="14">
        <f>K8+K13+K18+K23+K28+K33+K38+K43+K48</f>
        <v>16</v>
      </c>
      <c r="N3" s="14" t="s">
        <v>75</v>
      </c>
      <c r="O3" s="14">
        <f>SUM(N7:N47)+S3</f>
        <v>63</v>
      </c>
      <c r="P3" s="14">
        <f>O8+O13+O18+O23+O28+O33+O38+O43+O48</f>
        <v>20</v>
      </c>
      <c r="Q3" s="14">
        <f>P8+P13+P18+P23+P28+P33+P38+P43+P48</f>
        <v>26</v>
      </c>
      <c r="R3" s="14">
        <f>Q8+Q13+Q18+Q23+Q28+Q33+Q38+Q43+Q48</f>
        <v>18</v>
      </c>
      <c r="T3" s="14" t="s">
        <v>76</v>
      </c>
      <c r="U3" s="14">
        <f>SUM(T7:T47)+Y3</f>
        <v>61</v>
      </c>
      <c r="V3" s="14">
        <f>U8+U13+U18+U23+U28+U33+U38+U43+U48</f>
        <v>20</v>
      </c>
      <c r="W3" s="14">
        <f>V8+V13+V18+V23+V28+V33+V38+V43+V48</f>
        <v>20</v>
      </c>
      <c r="X3" s="14">
        <f>W8+W13+W18+W23+W28+W33+W38+W43+W48</f>
        <v>21</v>
      </c>
      <c r="Z3" s="14" t="s">
        <v>77</v>
      </c>
      <c r="AA3" s="14">
        <v>5</v>
      </c>
      <c r="AB3" s="14">
        <f>AA8+AA13+AA18+AA23+AA28+AA33+AA38+AA43+AA48</f>
        <v>0</v>
      </c>
      <c r="AC3" s="14">
        <f>AB8+AB13+AB18+AB23+AB28+AB33+AB38+AB43+AB48</f>
        <v>0</v>
      </c>
      <c r="AD3" s="14">
        <v>5</v>
      </c>
    </row>
    <row r="4" spans="2:30" x14ac:dyDescent="0.25">
      <c r="D4" s="17">
        <f>D3/$C$3</f>
        <v>0.35384615384615387</v>
      </c>
      <c r="E4" s="17">
        <f>E3/$C$3</f>
        <v>0.32307692307692309</v>
      </c>
      <c r="F4" s="17">
        <f>F3/$C$3</f>
        <v>0.16923076923076924</v>
      </c>
      <c r="J4" s="17">
        <f>J3/$C$3</f>
        <v>0.35384615384615387</v>
      </c>
      <c r="K4" s="17">
        <f>K3/$C$3</f>
        <v>0.36923076923076925</v>
      </c>
      <c r="L4" s="17">
        <f>L3/$C$3</f>
        <v>0.24615384615384617</v>
      </c>
      <c r="P4" s="17">
        <f>P3/$C$3</f>
        <v>0.30769230769230771</v>
      </c>
      <c r="Q4" s="17">
        <f>Q3/$C$3</f>
        <v>0.4</v>
      </c>
      <c r="R4" s="17">
        <f>R3/$C$3</f>
        <v>0.27692307692307694</v>
      </c>
      <c r="V4" s="17">
        <f>V3/$C$3</f>
        <v>0.30769230769230771</v>
      </c>
      <c r="W4" s="17">
        <f>W3/$C$3</f>
        <v>0.30769230769230771</v>
      </c>
      <c r="X4" s="17">
        <f>X3/$C$3</f>
        <v>0.32307692307692309</v>
      </c>
      <c r="AB4" s="17">
        <f>AB3/$C$3</f>
        <v>0</v>
      </c>
      <c r="AC4" s="17">
        <f>AC3/$C$3</f>
        <v>0</v>
      </c>
      <c r="AD4" s="17">
        <f>AD3/$C$3</f>
        <v>7.6923076923076927E-2</v>
      </c>
    </row>
    <row r="5" spans="2:30" x14ac:dyDescent="0.25">
      <c r="B5" s="14" t="s">
        <v>69</v>
      </c>
      <c r="C5" s="14" t="s">
        <v>25</v>
      </c>
      <c r="D5" s="16" t="s">
        <v>26</v>
      </c>
      <c r="E5" s="16" t="s">
        <v>27</v>
      </c>
      <c r="H5" s="14" t="s">
        <v>74</v>
      </c>
      <c r="I5" s="14" t="s">
        <v>25</v>
      </c>
      <c r="J5" s="16" t="s">
        <v>26</v>
      </c>
      <c r="K5" s="16" t="s">
        <v>27</v>
      </c>
      <c r="N5" s="14" t="str">
        <f>$N$3</f>
        <v>Mystery</v>
      </c>
      <c r="O5" s="14" t="s">
        <v>25</v>
      </c>
      <c r="P5" s="16" t="s">
        <v>26</v>
      </c>
      <c r="Q5" s="16" t="s">
        <v>27</v>
      </c>
      <c r="T5" s="14" t="str">
        <f>$N$3</f>
        <v>Mystery</v>
      </c>
      <c r="U5" s="14" t="s">
        <v>25</v>
      </c>
      <c r="V5" s="16" t="s">
        <v>26</v>
      </c>
      <c r="W5" s="16" t="s">
        <v>27</v>
      </c>
    </row>
    <row r="6" spans="2:30" x14ac:dyDescent="0.25">
      <c r="B6" s="6" t="s">
        <v>10</v>
      </c>
      <c r="C6" s="14">
        <v>4</v>
      </c>
      <c r="D6" s="14">
        <v>4</v>
      </c>
      <c r="E6" s="14">
        <v>1</v>
      </c>
      <c r="H6" s="6" t="s">
        <v>10</v>
      </c>
      <c r="I6" s="14">
        <v>5</v>
      </c>
      <c r="J6" s="14">
        <v>1</v>
      </c>
      <c r="K6" s="14">
        <v>1</v>
      </c>
      <c r="N6" s="6" t="s">
        <v>10</v>
      </c>
      <c r="O6" s="14">
        <v>5</v>
      </c>
      <c r="P6" s="14">
        <v>3</v>
      </c>
      <c r="Q6" s="14">
        <v>1</v>
      </c>
      <c r="T6" s="6" t="s">
        <v>10</v>
      </c>
      <c r="U6" s="14">
        <v>4</v>
      </c>
      <c r="V6" s="14">
        <v>4</v>
      </c>
      <c r="W6" s="14">
        <v>2</v>
      </c>
    </row>
    <row r="7" spans="2:30" x14ac:dyDescent="0.25">
      <c r="B7" s="14">
        <f>SUM(C6:E6)</f>
        <v>9</v>
      </c>
      <c r="C7" s="14" t="s">
        <v>70</v>
      </c>
      <c r="D7" s="14" t="s">
        <v>71</v>
      </c>
      <c r="E7" s="14" t="s">
        <v>72</v>
      </c>
      <c r="H7" s="14">
        <f>SUM(I6:K6)</f>
        <v>7</v>
      </c>
      <c r="I7" s="14" t="s">
        <v>70</v>
      </c>
      <c r="J7" s="14" t="s">
        <v>71</v>
      </c>
      <c r="K7" s="14" t="s">
        <v>72</v>
      </c>
      <c r="N7" s="14">
        <f>SUM(O6:Q6)</f>
        <v>9</v>
      </c>
      <c r="O7" s="14" t="s">
        <v>70</v>
      </c>
      <c r="P7" s="14" t="s">
        <v>71</v>
      </c>
      <c r="Q7" s="14" t="s">
        <v>72</v>
      </c>
      <c r="T7" s="14">
        <f>SUM(U6:W6)</f>
        <v>10</v>
      </c>
      <c r="U7" s="14" t="s">
        <v>70</v>
      </c>
      <c r="V7" s="14" t="s">
        <v>71</v>
      </c>
      <c r="W7" s="14" t="s">
        <v>72</v>
      </c>
    </row>
    <row r="8" spans="2:30" x14ac:dyDescent="0.25">
      <c r="B8" s="14"/>
      <c r="C8" s="14">
        <v>4</v>
      </c>
      <c r="D8" s="14">
        <v>4</v>
      </c>
      <c r="E8" s="14">
        <v>1</v>
      </c>
      <c r="H8" s="14"/>
      <c r="I8" s="14">
        <v>4</v>
      </c>
      <c r="J8" s="14">
        <v>2</v>
      </c>
      <c r="K8" s="14">
        <v>1</v>
      </c>
      <c r="N8" s="14"/>
      <c r="O8" s="14">
        <v>4</v>
      </c>
      <c r="P8" s="14">
        <v>2</v>
      </c>
      <c r="Q8" s="14">
        <v>3</v>
      </c>
      <c r="T8" s="14"/>
      <c r="U8" s="14">
        <v>4</v>
      </c>
      <c r="V8" s="14">
        <v>4</v>
      </c>
      <c r="W8" s="14">
        <v>2</v>
      </c>
      <c r="Y8" s="13">
        <f>U3+O3+I3+C3+AA3</f>
        <v>257</v>
      </c>
    </row>
    <row r="9" spans="2:30" x14ac:dyDescent="0.25">
      <c r="C9" s="17">
        <f>C8/$B$7</f>
        <v>0.44444444444444442</v>
      </c>
      <c r="D9" s="17">
        <f>D8/$B$7</f>
        <v>0.44444444444444442</v>
      </c>
      <c r="E9" s="17">
        <f>E8/$B$7</f>
        <v>0.1111111111111111</v>
      </c>
    </row>
    <row r="10" spans="2:30" x14ac:dyDescent="0.25">
      <c r="B10" s="14" t="s">
        <v>69</v>
      </c>
      <c r="C10" s="14" t="s">
        <v>25</v>
      </c>
      <c r="D10" s="14" t="s">
        <v>26</v>
      </c>
      <c r="E10" s="14" t="s">
        <v>27</v>
      </c>
      <c r="H10" s="14" t="s">
        <v>74</v>
      </c>
      <c r="I10" s="14" t="s">
        <v>25</v>
      </c>
      <c r="J10" s="14" t="s">
        <v>26</v>
      </c>
      <c r="K10" s="14" t="s">
        <v>27</v>
      </c>
      <c r="N10" s="14" t="str">
        <f>$N$3</f>
        <v>Mystery</v>
      </c>
      <c r="O10" s="14" t="s">
        <v>25</v>
      </c>
      <c r="P10" s="14" t="s">
        <v>26</v>
      </c>
      <c r="Q10" s="14" t="s">
        <v>27</v>
      </c>
      <c r="T10" s="14" t="str">
        <f>$N$3</f>
        <v>Mystery</v>
      </c>
      <c r="U10" s="14" t="s">
        <v>25</v>
      </c>
      <c r="V10" s="14" t="s">
        <v>26</v>
      </c>
      <c r="W10" s="14" t="s">
        <v>27</v>
      </c>
    </row>
    <row r="11" spans="2:30" x14ac:dyDescent="0.25">
      <c r="B11" s="7" t="s">
        <v>11</v>
      </c>
      <c r="C11" s="14">
        <v>2</v>
      </c>
      <c r="D11" s="14">
        <v>2</v>
      </c>
      <c r="E11" s="14">
        <v>1</v>
      </c>
      <c r="H11" s="7" t="s">
        <v>11</v>
      </c>
      <c r="I11" s="14">
        <v>4</v>
      </c>
      <c r="J11" s="14">
        <v>3</v>
      </c>
      <c r="K11" s="14">
        <v>1</v>
      </c>
      <c r="N11" s="7" t="s">
        <v>11</v>
      </c>
      <c r="O11" s="14">
        <v>3</v>
      </c>
      <c r="P11" s="14">
        <v>3</v>
      </c>
      <c r="Q11" s="14">
        <v>1</v>
      </c>
      <c r="T11" s="7" t="s">
        <v>11</v>
      </c>
      <c r="U11" s="14">
        <v>3</v>
      </c>
      <c r="V11" s="14">
        <v>2</v>
      </c>
      <c r="W11" s="14">
        <v>1</v>
      </c>
    </row>
    <row r="12" spans="2:30" x14ac:dyDescent="0.25">
      <c r="B12" s="14">
        <f>SUM(C11:E11)</f>
        <v>5</v>
      </c>
      <c r="C12" s="14" t="s">
        <v>70</v>
      </c>
      <c r="D12" s="14" t="s">
        <v>71</v>
      </c>
      <c r="E12" s="14" t="s">
        <v>72</v>
      </c>
      <c r="H12" s="14">
        <f>SUM(I11:K11)</f>
        <v>8</v>
      </c>
      <c r="I12" s="14" t="s">
        <v>70</v>
      </c>
      <c r="J12" s="14" t="s">
        <v>71</v>
      </c>
      <c r="K12" s="14" t="s">
        <v>72</v>
      </c>
      <c r="N12" s="14">
        <f>SUM(O11:Q11)</f>
        <v>7</v>
      </c>
      <c r="O12" s="14" t="s">
        <v>70</v>
      </c>
      <c r="P12" s="14" t="s">
        <v>71</v>
      </c>
      <c r="Q12" s="14" t="s">
        <v>72</v>
      </c>
      <c r="T12" s="14">
        <f>SUM(U11:W11)</f>
        <v>6</v>
      </c>
      <c r="U12" s="14" t="s">
        <v>70</v>
      </c>
      <c r="V12" s="14" t="s">
        <v>71</v>
      </c>
      <c r="W12" s="14" t="s">
        <v>72</v>
      </c>
    </row>
    <row r="13" spans="2:30" x14ac:dyDescent="0.25">
      <c r="B13" s="14"/>
      <c r="C13" s="14">
        <v>2</v>
      </c>
      <c r="D13" s="14">
        <v>2</v>
      </c>
      <c r="E13" s="14">
        <v>1</v>
      </c>
      <c r="H13" s="14"/>
      <c r="I13" s="14">
        <v>3</v>
      </c>
      <c r="J13" s="14">
        <v>3</v>
      </c>
      <c r="K13" s="14">
        <v>2</v>
      </c>
      <c r="N13" s="14"/>
      <c r="O13" s="14">
        <v>2</v>
      </c>
      <c r="P13" s="14">
        <v>3</v>
      </c>
      <c r="Q13" s="14">
        <v>2</v>
      </c>
      <c r="T13" s="14"/>
      <c r="U13" s="14">
        <v>2</v>
      </c>
      <c r="V13" s="14">
        <v>2</v>
      </c>
      <c r="W13" s="14">
        <v>2</v>
      </c>
    </row>
    <row r="14" spans="2:30" x14ac:dyDescent="0.25">
      <c r="C14" s="17">
        <f>C13/$B$12</f>
        <v>0.4</v>
      </c>
      <c r="D14" s="17">
        <f>D13/$B$12</f>
        <v>0.4</v>
      </c>
      <c r="E14" s="17">
        <f>E13/$B$12</f>
        <v>0.2</v>
      </c>
    </row>
    <row r="15" spans="2:30" x14ac:dyDescent="0.25">
      <c r="B15" s="14" t="s">
        <v>69</v>
      </c>
      <c r="C15" s="14" t="s">
        <v>25</v>
      </c>
      <c r="D15" s="14" t="s">
        <v>26</v>
      </c>
      <c r="E15" s="14" t="s">
        <v>27</v>
      </c>
      <c r="H15" s="14" t="s">
        <v>74</v>
      </c>
      <c r="I15" s="14" t="s">
        <v>25</v>
      </c>
      <c r="J15" s="14" t="s">
        <v>26</v>
      </c>
      <c r="K15" s="14" t="s">
        <v>27</v>
      </c>
      <c r="N15" s="14" t="str">
        <f>$N$3</f>
        <v>Mystery</v>
      </c>
      <c r="O15" s="14" t="s">
        <v>25</v>
      </c>
      <c r="P15" s="14" t="s">
        <v>26</v>
      </c>
      <c r="Q15" s="14" t="s">
        <v>27</v>
      </c>
      <c r="T15" s="14" t="str">
        <f>$N$3</f>
        <v>Mystery</v>
      </c>
      <c r="U15" s="14" t="s">
        <v>25</v>
      </c>
      <c r="V15" s="14" t="s">
        <v>26</v>
      </c>
      <c r="W15" s="14" t="s">
        <v>27</v>
      </c>
    </row>
    <row r="16" spans="2:30" x14ac:dyDescent="0.25">
      <c r="B16" s="8" t="s">
        <v>12</v>
      </c>
      <c r="C16" s="14">
        <v>3</v>
      </c>
      <c r="D16" s="14">
        <v>2</v>
      </c>
      <c r="E16" s="14">
        <v>1</v>
      </c>
      <c r="H16" s="8" t="s">
        <v>12</v>
      </c>
      <c r="I16" s="14">
        <v>4</v>
      </c>
      <c r="J16" s="14">
        <v>4</v>
      </c>
      <c r="K16" s="14">
        <v>1</v>
      </c>
      <c r="N16" s="8" t="s">
        <v>12</v>
      </c>
      <c r="O16" s="14">
        <v>2</v>
      </c>
      <c r="P16" s="14">
        <v>3</v>
      </c>
      <c r="Q16" s="14">
        <v>0</v>
      </c>
      <c r="T16" s="8" t="s">
        <v>12</v>
      </c>
      <c r="U16" s="14">
        <v>2</v>
      </c>
      <c r="V16" s="14">
        <v>3</v>
      </c>
      <c r="W16" s="14">
        <v>1</v>
      </c>
    </row>
    <row r="17" spans="2:23" x14ac:dyDescent="0.25">
      <c r="B17" s="14">
        <f>SUM(C16:E16)</f>
        <v>6</v>
      </c>
      <c r="C17" s="14" t="s">
        <v>70</v>
      </c>
      <c r="D17" s="14" t="s">
        <v>71</v>
      </c>
      <c r="E17" s="14" t="s">
        <v>72</v>
      </c>
      <c r="H17" s="14">
        <f>SUM(I16:K16)</f>
        <v>9</v>
      </c>
      <c r="I17" s="14" t="s">
        <v>70</v>
      </c>
      <c r="J17" s="14" t="s">
        <v>71</v>
      </c>
      <c r="K17" s="14" t="s">
        <v>72</v>
      </c>
      <c r="N17" s="14">
        <f>SUM(O16:Q16)</f>
        <v>5</v>
      </c>
      <c r="O17" s="14" t="s">
        <v>70</v>
      </c>
      <c r="P17" s="14" t="s">
        <v>71</v>
      </c>
      <c r="Q17" s="14" t="s">
        <v>72</v>
      </c>
      <c r="T17" s="14">
        <f>SUM(U16:W16)</f>
        <v>6</v>
      </c>
      <c r="U17" s="14" t="s">
        <v>70</v>
      </c>
      <c r="V17" s="14" t="s">
        <v>71</v>
      </c>
      <c r="W17" s="14" t="s">
        <v>72</v>
      </c>
    </row>
    <row r="18" spans="2:23" x14ac:dyDescent="0.25">
      <c r="B18" s="14"/>
      <c r="C18" s="14">
        <v>2</v>
      </c>
      <c r="D18" s="14">
        <v>3</v>
      </c>
      <c r="E18" s="14">
        <v>1</v>
      </c>
      <c r="H18" s="14"/>
      <c r="I18" s="14">
        <v>4</v>
      </c>
      <c r="J18" s="14">
        <v>4</v>
      </c>
      <c r="K18" s="14">
        <v>1</v>
      </c>
      <c r="N18" s="14"/>
      <c r="O18" s="14">
        <v>2</v>
      </c>
      <c r="P18" s="14">
        <v>2</v>
      </c>
      <c r="Q18" s="14">
        <v>1</v>
      </c>
      <c r="T18" s="14"/>
      <c r="U18" s="14">
        <v>2</v>
      </c>
      <c r="V18" s="14">
        <v>2</v>
      </c>
      <c r="W18" s="14">
        <v>2</v>
      </c>
    </row>
    <row r="19" spans="2:23" x14ac:dyDescent="0.25">
      <c r="C19" s="17">
        <f>C18/$B$17</f>
        <v>0.33333333333333331</v>
      </c>
      <c r="D19" s="17">
        <f>D18/$B$17</f>
        <v>0.5</v>
      </c>
      <c r="E19" s="17">
        <f>E18/$B$17</f>
        <v>0.16666666666666666</v>
      </c>
    </row>
    <row r="20" spans="2:23" x14ac:dyDescent="0.25">
      <c r="B20" s="14" t="s">
        <v>69</v>
      </c>
      <c r="C20" s="14" t="s">
        <v>25</v>
      </c>
      <c r="D20" s="14" t="s">
        <v>26</v>
      </c>
      <c r="E20" s="14" t="s">
        <v>27</v>
      </c>
      <c r="H20" s="14" t="s">
        <v>74</v>
      </c>
      <c r="I20" s="14" t="s">
        <v>25</v>
      </c>
      <c r="J20" s="14" t="s">
        <v>26</v>
      </c>
      <c r="K20" s="14" t="s">
        <v>27</v>
      </c>
      <c r="N20" s="14" t="str">
        <f>$N$3</f>
        <v>Mystery</v>
      </c>
      <c r="O20" s="14" t="s">
        <v>25</v>
      </c>
      <c r="P20" s="14" t="s">
        <v>26</v>
      </c>
      <c r="Q20" s="14" t="s">
        <v>27</v>
      </c>
      <c r="T20" s="14" t="str">
        <f>$N$3</f>
        <v>Mystery</v>
      </c>
      <c r="U20" s="14" t="s">
        <v>25</v>
      </c>
      <c r="V20" s="14" t="s">
        <v>26</v>
      </c>
      <c r="W20" s="14" t="s">
        <v>27</v>
      </c>
    </row>
    <row r="21" spans="2:23" x14ac:dyDescent="0.25">
      <c r="B21" s="4" t="s">
        <v>13</v>
      </c>
      <c r="C21" s="14">
        <v>2</v>
      </c>
      <c r="D21" s="14">
        <v>2</v>
      </c>
      <c r="E21" s="14">
        <v>1</v>
      </c>
      <c r="H21" s="4" t="s">
        <v>13</v>
      </c>
      <c r="I21" s="14">
        <v>3</v>
      </c>
      <c r="J21" s="14">
        <v>4</v>
      </c>
      <c r="K21" s="14">
        <v>1</v>
      </c>
      <c r="N21" s="4" t="s">
        <v>13</v>
      </c>
      <c r="O21" s="14">
        <v>3</v>
      </c>
      <c r="P21" s="14">
        <v>4</v>
      </c>
      <c r="Q21" s="14">
        <v>1</v>
      </c>
      <c r="T21" s="4" t="s">
        <v>13</v>
      </c>
      <c r="U21" s="14">
        <v>4</v>
      </c>
      <c r="V21" s="14">
        <v>2</v>
      </c>
      <c r="W21" s="14">
        <v>2</v>
      </c>
    </row>
    <row r="22" spans="2:23" x14ac:dyDescent="0.25">
      <c r="B22" s="14">
        <f>SUM(C21:E21)</f>
        <v>5</v>
      </c>
      <c r="C22" s="14" t="s">
        <v>70</v>
      </c>
      <c r="D22" s="14" t="s">
        <v>71</v>
      </c>
      <c r="E22" s="14" t="s">
        <v>72</v>
      </c>
      <c r="H22" s="14">
        <f>SUM(I21:K21)</f>
        <v>8</v>
      </c>
      <c r="I22" s="14" t="s">
        <v>70</v>
      </c>
      <c r="J22" s="14" t="s">
        <v>71</v>
      </c>
      <c r="K22" s="14" t="s">
        <v>72</v>
      </c>
      <c r="N22" s="14">
        <f>SUM(O21:Q21)</f>
        <v>8</v>
      </c>
      <c r="O22" s="14" t="s">
        <v>70</v>
      </c>
      <c r="P22" s="14" t="s">
        <v>71</v>
      </c>
      <c r="Q22" s="14" t="s">
        <v>72</v>
      </c>
      <c r="T22" s="14">
        <f>SUM(U21:W21)</f>
        <v>8</v>
      </c>
      <c r="U22" s="14" t="s">
        <v>70</v>
      </c>
      <c r="V22" s="14" t="s">
        <v>71</v>
      </c>
      <c r="W22" s="14" t="s">
        <v>72</v>
      </c>
    </row>
    <row r="23" spans="2:23" x14ac:dyDescent="0.25">
      <c r="B23" s="14"/>
      <c r="C23" s="14">
        <v>2</v>
      </c>
      <c r="D23" s="14">
        <v>2</v>
      </c>
      <c r="E23" s="14">
        <v>1</v>
      </c>
      <c r="H23" s="14"/>
      <c r="I23" s="14">
        <v>3</v>
      </c>
      <c r="J23" s="14">
        <v>4</v>
      </c>
      <c r="K23" s="14">
        <v>1</v>
      </c>
      <c r="N23" s="14"/>
      <c r="O23" s="14">
        <v>2</v>
      </c>
      <c r="P23" s="14">
        <v>3</v>
      </c>
      <c r="Q23" s="14">
        <v>3</v>
      </c>
      <c r="T23" s="14"/>
      <c r="U23" s="14">
        <v>2</v>
      </c>
      <c r="V23" s="14">
        <v>3</v>
      </c>
      <c r="W23" s="14">
        <v>3</v>
      </c>
    </row>
    <row r="24" spans="2:23" x14ac:dyDescent="0.25">
      <c r="C24" s="17">
        <f>C23/$B$22</f>
        <v>0.4</v>
      </c>
      <c r="D24" s="17">
        <f>D23/$B$22</f>
        <v>0.4</v>
      </c>
      <c r="E24" s="17">
        <f>E23/$B$22</f>
        <v>0.2</v>
      </c>
    </row>
    <row r="25" spans="2:23" x14ac:dyDescent="0.25">
      <c r="B25" s="14" t="s">
        <v>69</v>
      </c>
      <c r="C25" s="14" t="s">
        <v>25</v>
      </c>
      <c r="D25" s="14" t="s">
        <v>26</v>
      </c>
      <c r="E25" s="14" t="s">
        <v>27</v>
      </c>
      <c r="H25" s="14" t="s">
        <v>74</v>
      </c>
      <c r="I25" s="14" t="s">
        <v>25</v>
      </c>
      <c r="J25" s="14" t="s">
        <v>26</v>
      </c>
      <c r="K25" s="14" t="s">
        <v>27</v>
      </c>
      <c r="N25" s="14" t="str">
        <f>$N$3</f>
        <v>Mystery</v>
      </c>
      <c r="O25" s="14" t="s">
        <v>25</v>
      </c>
      <c r="P25" s="14" t="s">
        <v>26</v>
      </c>
      <c r="Q25" s="14" t="s">
        <v>27</v>
      </c>
      <c r="T25" s="14" t="str">
        <f>$N$3</f>
        <v>Mystery</v>
      </c>
      <c r="U25" s="14" t="s">
        <v>25</v>
      </c>
      <c r="V25" s="14" t="s">
        <v>26</v>
      </c>
      <c r="W25" s="14" t="s">
        <v>27</v>
      </c>
    </row>
    <row r="26" spans="2:23" x14ac:dyDescent="0.25">
      <c r="B26" s="9" t="s">
        <v>14</v>
      </c>
      <c r="C26" s="14">
        <v>2</v>
      </c>
      <c r="D26" s="14">
        <v>2</v>
      </c>
      <c r="E26" s="14">
        <v>1</v>
      </c>
      <c r="H26" s="9" t="s">
        <v>14</v>
      </c>
      <c r="I26" s="14">
        <v>3</v>
      </c>
      <c r="J26" s="14">
        <v>4</v>
      </c>
      <c r="K26" s="14">
        <v>1</v>
      </c>
      <c r="N26" s="9" t="s">
        <v>14</v>
      </c>
      <c r="O26" s="14">
        <v>4</v>
      </c>
      <c r="P26" s="14">
        <v>2</v>
      </c>
      <c r="Q26" s="14">
        <v>1</v>
      </c>
      <c r="T26" s="9" t="s">
        <v>14</v>
      </c>
      <c r="U26" s="14">
        <v>2</v>
      </c>
      <c r="V26" s="14">
        <v>2</v>
      </c>
      <c r="W26" s="14">
        <v>2</v>
      </c>
    </row>
    <row r="27" spans="2:23" x14ac:dyDescent="0.25">
      <c r="B27" s="14">
        <f>SUM(C26:E26)</f>
        <v>5</v>
      </c>
      <c r="C27" s="14" t="s">
        <v>70</v>
      </c>
      <c r="D27" s="14" t="s">
        <v>71</v>
      </c>
      <c r="E27" s="14" t="s">
        <v>72</v>
      </c>
      <c r="H27" s="14">
        <f>SUM(I26:K26)</f>
        <v>8</v>
      </c>
      <c r="I27" s="14" t="s">
        <v>70</v>
      </c>
      <c r="J27" s="14" t="s">
        <v>71</v>
      </c>
      <c r="K27" s="14" t="s">
        <v>72</v>
      </c>
      <c r="N27" s="14">
        <f>SUM(O26:Q26)</f>
        <v>7</v>
      </c>
      <c r="O27" s="14" t="s">
        <v>70</v>
      </c>
      <c r="P27" s="14" t="s">
        <v>71</v>
      </c>
      <c r="Q27" s="14" t="s">
        <v>72</v>
      </c>
      <c r="T27" s="14">
        <f>SUM(U26:W26)</f>
        <v>6</v>
      </c>
      <c r="U27" s="14" t="s">
        <v>70</v>
      </c>
      <c r="V27" s="14" t="s">
        <v>71</v>
      </c>
      <c r="W27" s="14" t="s">
        <v>72</v>
      </c>
    </row>
    <row r="28" spans="2:23" x14ac:dyDescent="0.25">
      <c r="B28" s="14"/>
      <c r="C28" s="14">
        <v>2</v>
      </c>
      <c r="D28" s="14">
        <v>2</v>
      </c>
      <c r="E28" s="14">
        <v>1</v>
      </c>
      <c r="H28" s="14"/>
      <c r="I28" s="14">
        <v>3</v>
      </c>
      <c r="J28" s="14">
        <v>4</v>
      </c>
      <c r="K28" s="14">
        <v>1</v>
      </c>
      <c r="N28" s="14"/>
      <c r="O28" s="14">
        <v>2</v>
      </c>
      <c r="P28" s="14">
        <v>4</v>
      </c>
      <c r="Q28" s="14">
        <v>2</v>
      </c>
      <c r="T28" s="14"/>
      <c r="U28" s="14">
        <v>2</v>
      </c>
      <c r="V28" s="14">
        <v>0</v>
      </c>
      <c r="W28" s="14">
        <v>4</v>
      </c>
    </row>
    <row r="29" spans="2:23" x14ac:dyDescent="0.25">
      <c r="C29" s="17">
        <f>C28/$B$27</f>
        <v>0.4</v>
      </c>
      <c r="D29" s="17">
        <f>D28/$B$27</f>
        <v>0.4</v>
      </c>
      <c r="E29" s="17">
        <f>E28/$B$27</f>
        <v>0.2</v>
      </c>
    </row>
    <row r="30" spans="2:23" x14ac:dyDescent="0.25">
      <c r="B30" s="14" t="s">
        <v>69</v>
      </c>
      <c r="C30" s="14" t="s">
        <v>25</v>
      </c>
      <c r="D30" s="14" t="s">
        <v>26</v>
      </c>
      <c r="E30" s="14" t="s">
        <v>27</v>
      </c>
      <c r="H30" s="14" t="s">
        <v>74</v>
      </c>
      <c r="I30" s="14" t="s">
        <v>25</v>
      </c>
      <c r="J30" s="14" t="s">
        <v>26</v>
      </c>
      <c r="K30" s="14" t="s">
        <v>27</v>
      </c>
      <c r="N30" s="14" t="str">
        <f>$N$3</f>
        <v>Mystery</v>
      </c>
      <c r="O30" s="14" t="s">
        <v>25</v>
      </c>
      <c r="P30" s="14" t="s">
        <v>26</v>
      </c>
      <c r="Q30" s="14" t="s">
        <v>27</v>
      </c>
      <c r="T30" s="14" t="str">
        <f>$N$3</f>
        <v>Mystery</v>
      </c>
      <c r="U30" s="14" t="s">
        <v>25</v>
      </c>
      <c r="V30" s="14" t="s">
        <v>26</v>
      </c>
      <c r="W30" s="14" t="s">
        <v>27</v>
      </c>
    </row>
    <row r="31" spans="2:23" x14ac:dyDescent="0.25">
      <c r="B31" s="10" t="s">
        <v>15</v>
      </c>
      <c r="C31" s="14">
        <v>2</v>
      </c>
      <c r="D31" s="14">
        <v>2</v>
      </c>
      <c r="E31" s="14">
        <v>1</v>
      </c>
      <c r="H31" s="10" t="s">
        <v>15</v>
      </c>
      <c r="I31" s="14">
        <v>1</v>
      </c>
      <c r="J31" s="14">
        <v>2</v>
      </c>
      <c r="K31" s="14">
        <v>2</v>
      </c>
      <c r="N31" s="10" t="s">
        <v>15</v>
      </c>
      <c r="O31" s="14">
        <v>2</v>
      </c>
      <c r="P31" s="14">
        <v>1</v>
      </c>
      <c r="Q31" s="14">
        <v>0</v>
      </c>
      <c r="T31" s="10" t="s">
        <v>15</v>
      </c>
      <c r="U31" s="14">
        <v>6</v>
      </c>
      <c r="V31" s="14">
        <v>3</v>
      </c>
      <c r="W31" s="14">
        <v>1</v>
      </c>
    </row>
    <row r="32" spans="2:23" x14ac:dyDescent="0.25">
      <c r="B32" s="14">
        <f>SUM(C31:E31)</f>
        <v>5</v>
      </c>
      <c r="C32" s="14" t="s">
        <v>70</v>
      </c>
      <c r="D32" s="14" t="s">
        <v>71</v>
      </c>
      <c r="E32" s="14" t="s">
        <v>72</v>
      </c>
      <c r="H32" s="14">
        <f>SUM(I31:K31)</f>
        <v>5</v>
      </c>
      <c r="I32" s="14" t="s">
        <v>70</v>
      </c>
      <c r="J32" s="14" t="s">
        <v>71</v>
      </c>
      <c r="K32" s="14" t="s">
        <v>72</v>
      </c>
      <c r="N32" s="14">
        <f>SUM(O31:Q31)</f>
        <v>3</v>
      </c>
      <c r="O32" s="14" t="s">
        <v>70</v>
      </c>
      <c r="P32" s="14" t="s">
        <v>71</v>
      </c>
      <c r="Q32" s="14" t="s">
        <v>72</v>
      </c>
      <c r="T32" s="14">
        <f>SUM(U31:W31)</f>
        <v>10</v>
      </c>
      <c r="U32" s="14" t="s">
        <v>70</v>
      </c>
      <c r="V32" s="14" t="s">
        <v>71</v>
      </c>
      <c r="W32" s="14" t="s">
        <v>72</v>
      </c>
    </row>
    <row r="33" spans="2:23" x14ac:dyDescent="0.25">
      <c r="B33" s="14"/>
      <c r="C33" s="14">
        <v>2</v>
      </c>
      <c r="D33" s="14">
        <v>2</v>
      </c>
      <c r="E33" s="14">
        <v>1</v>
      </c>
      <c r="H33" s="14"/>
      <c r="I33" s="14">
        <v>1</v>
      </c>
      <c r="J33" s="14">
        <v>1</v>
      </c>
      <c r="K33" s="14">
        <v>3</v>
      </c>
      <c r="N33" s="14"/>
      <c r="O33" s="14">
        <v>0</v>
      </c>
      <c r="P33" s="14">
        <v>1</v>
      </c>
      <c r="Q33" s="14">
        <v>2</v>
      </c>
      <c r="T33" s="14"/>
      <c r="U33" s="14">
        <v>3</v>
      </c>
      <c r="V33" s="14">
        <v>5</v>
      </c>
      <c r="W33" s="14">
        <v>2</v>
      </c>
    </row>
    <row r="34" spans="2:23" x14ac:dyDescent="0.25">
      <c r="C34" s="17">
        <f>C33/$B$32</f>
        <v>0.4</v>
      </c>
      <c r="D34" s="17">
        <f>D33/$B$32</f>
        <v>0.4</v>
      </c>
      <c r="E34" s="17">
        <f>E33/$B$32</f>
        <v>0.2</v>
      </c>
    </row>
    <row r="35" spans="2:23" x14ac:dyDescent="0.25">
      <c r="B35" s="14" t="s">
        <v>69</v>
      </c>
      <c r="C35" s="14" t="s">
        <v>25</v>
      </c>
      <c r="D35" s="14" t="s">
        <v>26</v>
      </c>
      <c r="E35" s="14" t="s">
        <v>27</v>
      </c>
      <c r="H35" s="14" t="s">
        <v>74</v>
      </c>
      <c r="I35" s="14" t="s">
        <v>25</v>
      </c>
      <c r="J35" s="14" t="s">
        <v>26</v>
      </c>
      <c r="K35" s="14" t="s">
        <v>27</v>
      </c>
      <c r="N35" s="14" t="str">
        <f>$N$3</f>
        <v>Mystery</v>
      </c>
      <c r="O35" s="14" t="s">
        <v>25</v>
      </c>
      <c r="P35" s="14" t="s">
        <v>26</v>
      </c>
      <c r="Q35" s="14" t="s">
        <v>27</v>
      </c>
      <c r="T35" s="14" t="str">
        <f>$N$3</f>
        <v>Mystery</v>
      </c>
      <c r="U35" s="14" t="s">
        <v>25</v>
      </c>
      <c r="V35" s="14" t="s">
        <v>26</v>
      </c>
      <c r="W35" s="14" t="s">
        <v>27</v>
      </c>
    </row>
    <row r="36" spans="2:23" ht="30" x14ac:dyDescent="0.25">
      <c r="B36" s="12" t="s">
        <v>18</v>
      </c>
      <c r="C36" s="14">
        <v>1</v>
      </c>
      <c r="D36" s="14">
        <v>1</v>
      </c>
      <c r="E36" s="14">
        <v>1</v>
      </c>
      <c r="H36" s="12" t="s">
        <v>18</v>
      </c>
      <c r="I36" s="14">
        <v>1</v>
      </c>
      <c r="J36" s="14">
        <v>1</v>
      </c>
      <c r="K36" s="14">
        <v>1</v>
      </c>
      <c r="N36" s="12" t="s">
        <v>18</v>
      </c>
      <c r="O36" s="14">
        <v>3</v>
      </c>
      <c r="P36" s="14">
        <v>5</v>
      </c>
      <c r="Q36" s="14">
        <v>2</v>
      </c>
      <c r="T36" s="12" t="s">
        <v>18</v>
      </c>
      <c r="U36" s="14">
        <v>0</v>
      </c>
      <c r="V36" s="14">
        <v>0</v>
      </c>
      <c r="W36" s="14">
        <v>0</v>
      </c>
    </row>
    <row r="37" spans="2:23" x14ac:dyDescent="0.25">
      <c r="B37" s="14">
        <f>SUM(C36:E36)</f>
        <v>3</v>
      </c>
      <c r="C37" s="14" t="s">
        <v>70</v>
      </c>
      <c r="D37" s="14" t="s">
        <v>71</v>
      </c>
      <c r="E37" s="14" t="s">
        <v>72</v>
      </c>
      <c r="H37" s="14">
        <f>SUM(I36:K36)</f>
        <v>3</v>
      </c>
      <c r="I37" s="14" t="s">
        <v>70</v>
      </c>
      <c r="J37" s="14" t="s">
        <v>71</v>
      </c>
      <c r="K37" s="14" t="s">
        <v>72</v>
      </c>
      <c r="N37" s="14">
        <f>SUM(O36:Q36)</f>
        <v>10</v>
      </c>
      <c r="O37" s="14" t="s">
        <v>70</v>
      </c>
      <c r="P37" s="14" t="s">
        <v>71</v>
      </c>
      <c r="Q37" s="14" t="s">
        <v>72</v>
      </c>
      <c r="T37" s="14">
        <f>SUM(U36:W36)</f>
        <v>0</v>
      </c>
      <c r="U37" s="14" t="s">
        <v>70</v>
      </c>
      <c r="V37" s="14" t="s">
        <v>71</v>
      </c>
      <c r="W37" s="14" t="s">
        <v>72</v>
      </c>
    </row>
    <row r="38" spans="2:23" x14ac:dyDescent="0.25">
      <c r="B38" s="14"/>
      <c r="C38" s="14">
        <v>0</v>
      </c>
      <c r="D38" s="14">
        <v>0</v>
      </c>
      <c r="E38" s="14">
        <v>0</v>
      </c>
      <c r="H38" s="14"/>
      <c r="I38" s="14">
        <v>1</v>
      </c>
      <c r="J38" s="14">
        <v>0</v>
      </c>
      <c r="K38" s="14">
        <v>2</v>
      </c>
      <c r="N38" s="14"/>
      <c r="O38" s="14">
        <v>3</v>
      </c>
      <c r="P38" s="14">
        <v>4</v>
      </c>
      <c r="Q38" s="14">
        <v>3</v>
      </c>
      <c r="T38" s="14"/>
      <c r="U38" s="14">
        <v>0</v>
      </c>
      <c r="V38" s="14">
        <v>0</v>
      </c>
      <c r="W38" s="14">
        <v>0</v>
      </c>
    </row>
    <row r="39" spans="2:23" x14ac:dyDescent="0.25">
      <c r="C39" s="17">
        <f>C38/$B$37</f>
        <v>0</v>
      </c>
      <c r="D39" s="17">
        <f>D38/$B$37</f>
        <v>0</v>
      </c>
      <c r="E39" s="17">
        <f>E38/$B$37</f>
        <v>0</v>
      </c>
    </row>
    <row r="40" spans="2:23" x14ac:dyDescent="0.25">
      <c r="B40" s="14" t="s">
        <v>69</v>
      </c>
      <c r="C40" s="14" t="s">
        <v>25</v>
      </c>
      <c r="D40" s="14" t="s">
        <v>26</v>
      </c>
      <c r="E40" s="14" t="s">
        <v>27</v>
      </c>
      <c r="H40" s="14" t="s">
        <v>74</v>
      </c>
      <c r="I40" s="14" t="s">
        <v>25</v>
      </c>
      <c r="J40" s="14" t="s">
        <v>26</v>
      </c>
      <c r="K40" s="14" t="s">
        <v>27</v>
      </c>
      <c r="N40" s="14" t="str">
        <f>$N$3</f>
        <v>Mystery</v>
      </c>
      <c r="O40" s="14" t="s">
        <v>25</v>
      </c>
      <c r="P40" s="14" t="s">
        <v>26</v>
      </c>
      <c r="Q40" s="14" t="s">
        <v>27</v>
      </c>
      <c r="T40" s="14" t="str">
        <f>$N$3</f>
        <v>Mystery</v>
      </c>
      <c r="U40" s="14" t="s">
        <v>25</v>
      </c>
      <c r="V40" s="14" t="s">
        <v>26</v>
      </c>
      <c r="W40" s="14" t="s">
        <v>27</v>
      </c>
    </row>
    <row r="41" spans="2:23" ht="30" x14ac:dyDescent="0.25">
      <c r="B41" s="5" t="s">
        <v>16</v>
      </c>
      <c r="C41" s="14">
        <v>4</v>
      </c>
      <c r="D41" s="14">
        <v>3</v>
      </c>
      <c r="E41" s="14">
        <v>1</v>
      </c>
      <c r="H41" s="5" t="s">
        <v>16</v>
      </c>
      <c r="I41" s="14">
        <v>3</v>
      </c>
      <c r="J41" s="14">
        <v>3</v>
      </c>
      <c r="K41" s="14">
        <v>1</v>
      </c>
      <c r="N41" s="5" t="s">
        <v>16</v>
      </c>
      <c r="O41" s="14">
        <v>8</v>
      </c>
      <c r="P41" s="14">
        <v>1</v>
      </c>
      <c r="Q41" s="14">
        <v>0</v>
      </c>
      <c r="T41" s="5" t="s">
        <v>16</v>
      </c>
      <c r="U41" s="14">
        <v>4</v>
      </c>
      <c r="V41" s="14">
        <v>2</v>
      </c>
      <c r="W41" s="14">
        <v>2</v>
      </c>
    </row>
    <row r="42" spans="2:23" x14ac:dyDescent="0.25">
      <c r="B42" s="14">
        <f>SUM(C41:E41)</f>
        <v>8</v>
      </c>
      <c r="C42" s="14" t="s">
        <v>70</v>
      </c>
      <c r="D42" s="14" t="s">
        <v>71</v>
      </c>
      <c r="E42" s="14" t="s">
        <v>72</v>
      </c>
      <c r="H42" s="14">
        <f>SUM(I41:K41)</f>
        <v>7</v>
      </c>
      <c r="I42" s="14" t="s">
        <v>70</v>
      </c>
      <c r="J42" s="14" t="s">
        <v>71</v>
      </c>
      <c r="K42" s="14" t="s">
        <v>72</v>
      </c>
      <c r="N42" s="14">
        <f>SUM(O41:Q41)</f>
        <v>9</v>
      </c>
      <c r="O42" s="14" t="s">
        <v>70</v>
      </c>
      <c r="P42" s="14" t="s">
        <v>71</v>
      </c>
      <c r="Q42" s="14" t="s">
        <v>72</v>
      </c>
      <c r="T42" s="14">
        <f>SUM(U41:W41)</f>
        <v>8</v>
      </c>
      <c r="U42" s="14" t="s">
        <v>70</v>
      </c>
      <c r="V42" s="14" t="s">
        <v>71</v>
      </c>
      <c r="W42" s="14" t="s">
        <v>72</v>
      </c>
    </row>
    <row r="43" spans="2:23" x14ac:dyDescent="0.25">
      <c r="B43" s="14"/>
      <c r="C43" s="14">
        <v>4</v>
      </c>
      <c r="D43" s="14">
        <v>3</v>
      </c>
      <c r="E43" s="14">
        <v>1</v>
      </c>
      <c r="H43" s="14"/>
      <c r="I43" s="14">
        <v>2</v>
      </c>
      <c r="J43" s="14">
        <v>3</v>
      </c>
      <c r="K43" s="14">
        <v>2</v>
      </c>
      <c r="N43" s="14"/>
      <c r="O43" s="14">
        <v>2</v>
      </c>
      <c r="P43" s="14">
        <v>5</v>
      </c>
      <c r="Q43" s="14">
        <v>2</v>
      </c>
      <c r="T43" s="14"/>
      <c r="U43" s="14">
        <v>2</v>
      </c>
      <c r="V43" s="14">
        <v>2</v>
      </c>
      <c r="W43" s="14">
        <v>4</v>
      </c>
    </row>
    <row r="44" spans="2:23" x14ac:dyDescent="0.25">
      <c r="C44" s="17">
        <f>C43/$B$42</f>
        <v>0.5</v>
      </c>
      <c r="D44" s="17">
        <f>D43/$B$42</f>
        <v>0.375</v>
      </c>
      <c r="E44" s="17">
        <f>E43/$B$42</f>
        <v>0.125</v>
      </c>
    </row>
    <row r="45" spans="2:23" x14ac:dyDescent="0.25">
      <c r="B45" s="14" t="s">
        <v>69</v>
      </c>
      <c r="C45" s="14" t="s">
        <v>25</v>
      </c>
      <c r="D45" s="14" t="s">
        <v>26</v>
      </c>
      <c r="E45" s="14" t="s">
        <v>27</v>
      </c>
      <c r="H45" s="14" t="s">
        <v>74</v>
      </c>
      <c r="I45" s="14" t="s">
        <v>25</v>
      </c>
      <c r="J45" s="14" t="s">
        <v>26</v>
      </c>
      <c r="K45" s="14" t="s">
        <v>27</v>
      </c>
      <c r="N45" s="14" t="str">
        <f>$N$3</f>
        <v>Mystery</v>
      </c>
      <c r="O45" s="14" t="s">
        <v>25</v>
      </c>
      <c r="P45" s="14" t="s">
        <v>26</v>
      </c>
      <c r="Q45" s="14" t="s">
        <v>27</v>
      </c>
      <c r="T45" s="14" t="str">
        <f>$N$3</f>
        <v>Mystery</v>
      </c>
      <c r="U45" s="14" t="s">
        <v>25</v>
      </c>
      <c r="V45" s="14" t="s">
        <v>26</v>
      </c>
      <c r="W45" s="14" t="s">
        <v>27</v>
      </c>
    </row>
    <row r="46" spans="2:23" x14ac:dyDescent="0.25">
      <c r="B46" s="15" t="s">
        <v>58</v>
      </c>
      <c r="C46" s="14">
        <v>5</v>
      </c>
      <c r="D46" s="14">
        <v>3</v>
      </c>
      <c r="E46" s="14">
        <v>4</v>
      </c>
      <c r="H46" s="15" t="s">
        <v>58</v>
      </c>
      <c r="I46" s="14">
        <f>I48</f>
        <v>2</v>
      </c>
      <c r="J46" s="14">
        <f>J48</f>
        <v>3</v>
      </c>
      <c r="K46" s="14">
        <f>K48</f>
        <v>3</v>
      </c>
      <c r="N46" s="15" t="s">
        <v>58</v>
      </c>
      <c r="O46" s="14">
        <f>O48</f>
        <v>3</v>
      </c>
      <c r="P46" s="14">
        <f>P48</f>
        <v>2</v>
      </c>
      <c r="Q46" s="14">
        <f>Q48</f>
        <v>0</v>
      </c>
      <c r="T46" s="15" t="s">
        <v>58</v>
      </c>
      <c r="U46" s="14">
        <f>U48</f>
        <v>3</v>
      </c>
      <c r="V46" s="14">
        <f>V48</f>
        <v>2</v>
      </c>
      <c r="W46" s="14">
        <f>W48</f>
        <v>2</v>
      </c>
    </row>
    <row r="47" spans="2:23" x14ac:dyDescent="0.25">
      <c r="B47" s="14">
        <f>SUM(C46:E46)</f>
        <v>12</v>
      </c>
      <c r="C47" s="14" t="s">
        <v>70</v>
      </c>
      <c r="D47" s="14" t="s">
        <v>71</v>
      </c>
      <c r="E47" s="14" t="s">
        <v>72</v>
      </c>
      <c r="H47" s="14">
        <f>SUM(I46:K46)</f>
        <v>8</v>
      </c>
      <c r="I47" s="14" t="s">
        <v>70</v>
      </c>
      <c r="J47" s="14" t="s">
        <v>71</v>
      </c>
      <c r="K47" s="14" t="s">
        <v>72</v>
      </c>
      <c r="N47" s="14">
        <f>SUM(O46:Q46)</f>
        <v>5</v>
      </c>
      <c r="O47" s="14" t="s">
        <v>70</v>
      </c>
      <c r="P47" s="14" t="s">
        <v>71</v>
      </c>
      <c r="Q47" s="14" t="s">
        <v>72</v>
      </c>
      <c r="T47" s="14">
        <f>SUM(U46:W46)</f>
        <v>7</v>
      </c>
      <c r="U47" s="14" t="s">
        <v>70</v>
      </c>
      <c r="V47" s="14" t="s">
        <v>71</v>
      </c>
      <c r="W47" s="14" t="s">
        <v>72</v>
      </c>
    </row>
    <row r="48" spans="2:23" x14ac:dyDescent="0.25">
      <c r="B48" s="14"/>
      <c r="C48" s="14">
        <v>5</v>
      </c>
      <c r="D48" s="14">
        <v>3</v>
      </c>
      <c r="E48" s="14">
        <v>4</v>
      </c>
      <c r="H48" s="14"/>
      <c r="I48" s="14">
        <v>2</v>
      </c>
      <c r="J48" s="14">
        <v>3</v>
      </c>
      <c r="K48" s="14">
        <v>3</v>
      </c>
      <c r="N48" s="14"/>
      <c r="O48" s="14">
        <v>3</v>
      </c>
      <c r="P48" s="14">
        <v>2</v>
      </c>
      <c r="Q48" s="14">
        <v>0</v>
      </c>
      <c r="T48" s="14"/>
      <c r="U48" s="14">
        <v>3</v>
      </c>
      <c r="V48" s="14">
        <v>2</v>
      </c>
      <c r="W48" s="14">
        <v>2</v>
      </c>
    </row>
    <row r="49" spans="3:5" x14ac:dyDescent="0.25">
      <c r="C49" s="17">
        <f>C48/$B$47</f>
        <v>0.41666666666666669</v>
      </c>
      <c r="D49" s="17">
        <f>D48/$B$47</f>
        <v>0.25</v>
      </c>
      <c r="E49" s="17">
        <f>E48/$B$47</f>
        <v>0.33333333333333331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47FB-550C-4DC9-AD9F-F914652896A3}">
  <dimension ref="A2:CU77"/>
  <sheetViews>
    <sheetView topLeftCell="CE1" zoomScaleNormal="100" workbookViewId="0">
      <selection activeCell="CQ15" sqref="CQ15"/>
    </sheetView>
  </sheetViews>
  <sheetFormatPr defaultRowHeight="15" x14ac:dyDescent="0.25"/>
  <cols>
    <col min="1" max="1" width="9.140625" style="13"/>
    <col min="2" max="2" width="12.85546875" style="13" bestFit="1" customWidth="1"/>
    <col min="3" max="10" width="9.140625" style="13"/>
    <col min="11" max="11" width="20" style="13" bestFit="1" customWidth="1"/>
    <col min="12" max="13" width="21.42578125" style="13" bestFit="1" customWidth="1"/>
    <col min="14" max="15" width="9.140625" style="13"/>
    <col min="16" max="16" width="12.42578125" style="13" bestFit="1" customWidth="1"/>
    <col min="17" max="24" width="9.140625" style="13"/>
    <col min="25" max="25" width="21.7109375" style="13" bestFit="1" customWidth="1"/>
    <col min="26" max="27" width="23.28515625" style="13" bestFit="1" customWidth="1"/>
    <col min="28" max="29" width="9.140625" style="13"/>
    <col min="30" max="30" width="12.85546875" style="13" bestFit="1" customWidth="1"/>
    <col min="31" max="38" width="9.140625" style="13"/>
    <col min="39" max="39" width="20" style="13" bestFit="1" customWidth="1"/>
    <col min="40" max="41" width="21.42578125" style="13" bestFit="1" customWidth="1"/>
    <col min="42" max="43" width="9.140625" style="13"/>
    <col min="44" max="44" width="12.85546875" style="13" bestFit="1" customWidth="1"/>
    <col min="45" max="52" width="9.140625" style="13"/>
    <col min="53" max="53" width="20" style="13" bestFit="1" customWidth="1"/>
    <col min="54" max="55" width="21.42578125" style="13" bestFit="1" customWidth="1"/>
    <col min="56" max="57" width="9.140625" style="13"/>
    <col min="58" max="58" width="12.85546875" style="13" bestFit="1" customWidth="1"/>
    <col min="59" max="66" width="9.140625" style="13"/>
    <col min="67" max="67" width="20" style="13" bestFit="1" customWidth="1"/>
    <col min="68" max="69" width="21.42578125" style="13" bestFit="1" customWidth="1"/>
    <col min="70" max="71" width="9.140625" style="13"/>
    <col min="72" max="72" width="12.85546875" style="13" bestFit="1" customWidth="1"/>
    <col min="73" max="80" width="9.140625" style="13"/>
    <col min="81" max="81" width="20" style="13" bestFit="1" customWidth="1"/>
    <col min="82" max="83" width="21.42578125" style="13" bestFit="1" customWidth="1"/>
    <col min="84" max="85" width="9.140625" style="13"/>
    <col min="86" max="86" width="12.85546875" style="13" bestFit="1" customWidth="1"/>
    <col min="87" max="94" width="9.140625" style="13"/>
    <col min="95" max="95" width="20" style="13" bestFit="1" customWidth="1"/>
    <col min="96" max="97" width="21.42578125" style="13" bestFit="1" customWidth="1"/>
    <col min="98" max="16384" width="9.140625" style="13"/>
  </cols>
  <sheetData>
    <row r="2" spans="1:99" ht="45" customHeight="1" x14ac:dyDescent="0.25">
      <c r="A2" s="14" t="s">
        <v>19</v>
      </c>
      <c r="B2" s="6" t="s">
        <v>20</v>
      </c>
      <c r="C2" s="14" t="s">
        <v>21</v>
      </c>
      <c r="D2" s="13" t="s">
        <v>60</v>
      </c>
      <c r="E2" s="13" t="s">
        <v>65</v>
      </c>
      <c r="G2" s="30" t="s">
        <v>9</v>
      </c>
      <c r="H2" s="14" t="s">
        <v>61</v>
      </c>
      <c r="I2" s="14" t="s">
        <v>26</v>
      </c>
      <c r="J2" s="14" t="s">
        <v>27</v>
      </c>
      <c r="K2" s="29" t="s">
        <v>62</v>
      </c>
      <c r="L2" s="29" t="s">
        <v>63</v>
      </c>
      <c r="M2" s="29" t="s">
        <v>64</v>
      </c>
      <c r="O2" s="14" t="s">
        <v>19</v>
      </c>
      <c r="P2" s="7" t="s">
        <v>78</v>
      </c>
      <c r="Q2" s="14" t="s">
        <v>21</v>
      </c>
      <c r="R2" s="13" t="s">
        <v>60</v>
      </c>
      <c r="S2" s="13" t="s">
        <v>65</v>
      </c>
      <c r="U2" s="31" t="s">
        <v>9</v>
      </c>
      <c r="V2" s="14" t="s">
        <v>61</v>
      </c>
      <c r="W2" s="14" t="s">
        <v>26</v>
      </c>
      <c r="X2" s="14" t="s">
        <v>27</v>
      </c>
      <c r="Y2" s="26" t="s">
        <v>62</v>
      </c>
      <c r="Z2" s="26" t="s">
        <v>63</v>
      </c>
      <c r="AA2" s="26" t="s">
        <v>64</v>
      </c>
      <c r="AC2" s="14" t="s">
        <v>19</v>
      </c>
      <c r="AD2" s="8" t="s">
        <v>112</v>
      </c>
      <c r="AE2" s="14" t="s">
        <v>21</v>
      </c>
      <c r="AF2" s="13" t="s">
        <v>60</v>
      </c>
      <c r="AG2" s="13" t="s">
        <v>65</v>
      </c>
      <c r="AI2" s="36" t="s">
        <v>9</v>
      </c>
      <c r="AJ2" s="14" t="s">
        <v>61</v>
      </c>
      <c r="AK2" s="14" t="s">
        <v>26</v>
      </c>
      <c r="AL2" s="14" t="s">
        <v>27</v>
      </c>
      <c r="AM2" s="25" t="s">
        <v>62</v>
      </c>
      <c r="AN2" s="25" t="s">
        <v>63</v>
      </c>
      <c r="AO2" s="25" t="s">
        <v>64</v>
      </c>
      <c r="AQ2" s="14" t="s">
        <v>19</v>
      </c>
      <c r="AR2" s="20" t="s">
        <v>146</v>
      </c>
      <c r="AS2" s="14" t="s">
        <v>21</v>
      </c>
      <c r="AT2" s="13" t="s">
        <v>60</v>
      </c>
      <c r="AU2" s="13" t="s">
        <v>65</v>
      </c>
      <c r="AW2" s="35" t="s">
        <v>9</v>
      </c>
      <c r="AX2" s="14" t="s">
        <v>61</v>
      </c>
      <c r="AY2" s="14" t="s">
        <v>26</v>
      </c>
      <c r="AZ2" s="14" t="s">
        <v>27</v>
      </c>
      <c r="BA2" s="24" t="s">
        <v>62</v>
      </c>
      <c r="BB2" s="24" t="s">
        <v>63</v>
      </c>
      <c r="BC2" s="24" t="s">
        <v>64</v>
      </c>
      <c r="BE2" s="14" t="s">
        <v>19</v>
      </c>
      <c r="BF2" s="21" t="s">
        <v>177</v>
      </c>
      <c r="BG2" s="14" t="s">
        <v>21</v>
      </c>
      <c r="BH2" s="13" t="s">
        <v>60</v>
      </c>
      <c r="BI2" s="13" t="s">
        <v>65</v>
      </c>
      <c r="BK2" s="34" t="s">
        <v>9</v>
      </c>
      <c r="BL2" s="14" t="s">
        <v>61</v>
      </c>
      <c r="BM2" s="14" t="s">
        <v>26</v>
      </c>
      <c r="BN2" s="14" t="s">
        <v>27</v>
      </c>
      <c r="BO2" s="23" t="s">
        <v>62</v>
      </c>
      <c r="BP2" s="23" t="s">
        <v>63</v>
      </c>
      <c r="BQ2" s="23" t="s">
        <v>64</v>
      </c>
      <c r="BS2" s="14" t="s">
        <v>19</v>
      </c>
      <c r="BT2" s="10" t="s">
        <v>208</v>
      </c>
      <c r="BU2" s="14" t="s">
        <v>21</v>
      </c>
      <c r="BV2" s="13" t="s">
        <v>60</v>
      </c>
      <c r="BW2" s="13" t="s">
        <v>65</v>
      </c>
      <c r="BY2" s="33" t="s">
        <v>9</v>
      </c>
      <c r="BZ2" s="14" t="s">
        <v>61</v>
      </c>
      <c r="CA2" s="14" t="s">
        <v>26</v>
      </c>
      <c r="CB2" s="14" t="s">
        <v>27</v>
      </c>
      <c r="CC2" s="22" t="s">
        <v>62</v>
      </c>
      <c r="CD2" s="22" t="s">
        <v>63</v>
      </c>
      <c r="CE2" s="22" t="s">
        <v>64</v>
      </c>
      <c r="CG2" s="14" t="s">
        <v>19</v>
      </c>
      <c r="CH2" s="27" t="s">
        <v>248</v>
      </c>
      <c r="CI2" s="14" t="s">
        <v>21</v>
      </c>
      <c r="CJ2" s="13" t="s">
        <v>60</v>
      </c>
      <c r="CK2" s="13" t="s">
        <v>65</v>
      </c>
      <c r="CM2" s="32" t="s">
        <v>9</v>
      </c>
      <c r="CN2" s="14" t="s">
        <v>61</v>
      </c>
      <c r="CO2" s="14" t="s">
        <v>26</v>
      </c>
      <c r="CP2" s="14" t="s">
        <v>27</v>
      </c>
      <c r="CQ2" s="28" t="s">
        <v>62</v>
      </c>
      <c r="CR2" s="28" t="s">
        <v>63</v>
      </c>
      <c r="CS2" s="28" t="s">
        <v>64</v>
      </c>
    </row>
    <row r="3" spans="1:99" x14ac:dyDescent="0.25">
      <c r="A3" s="14">
        <v>1</v>
      </c>
      <c r="B3" s="14" t="s">
        <v>22</v>
      </c>
      <c r="C3" s="14" t="s">
        <v>25</v>
      </c>
      <c r="D3" s="13">
        <v>50</v>
      </c>
      <c r="E3" s="13">
        <v>1</v>
      </c>
      <c r="G3" s="14">
        <f>COUNT(A3:A38)</f>
        <v>36</v>
      </c>
      <c r="H3" s="14">
        <f>IF(C3="Basic",D3,"")</f>
        <v>50</v>
      </c>
      <c r="I3" s="14" t="str">
        <f>IF(C3="Stage 1",D3,"")</f>
        <v/>
      </c>
      <c r="J3" s="14" t="str">
        <f>IF(C3="Stage 2",D3,"")</f>
        <v/>
      </c>
      <c r="K3" s="19">
        <f>AVERAGE(H3:H39)</f>
        <v>54.117647058823529</v>
      </c>
      <c r="L3" s="19">
        <f>AVERAGE(I3:I39)</f>
        <v>76.666666666666671</v>
      </c>
      <c r="M3" s="19">
        <f>AVERAGE(J3:J39)</f>
        <v>95</v>
      </c>
      <c r="O3" s="14">
        <v>1</v>
      </c>
      <c r="P3" s="14" t="s">
        <v>79</v>
      </c>
      <c r="Q3" s="14" t="s">
        <v>25</v>
      </c>
      <c r="R3" s="13">
        <v>50</v>
      </c>
      <c r="S3" s="13">
        <v>1</v>
      </c>
      <c r="U3" s="14">
        <f>COUNT(O3:O39)</f>
        <v>31</v>
      </c>
      <c r="V3" s="14">
        <f>IF(Q3="Basic",R3,"")</f>
        <v>50</v>
      </c>
      <c r="W3" s="14" t="str">
        <f>IF(Q3="Stage 1",R3,"")</f>
        <v/>
      </c>
      <c r="X3" s="14" t="str">
        <f>IF(Q3="Stage 2",R3,"")</f>
        <v/>
      </c>
      <c r="Y3" s="19">
        <f>AVERAGE(V3:V39)</f>
        <v>60.666666666666664</v>
      </c>
      <c r="Z3" s="19">
        <f>AVERAGE(W3:W39)</f>
        <v>78.181818181818187</v>
      </c>
      <c r="AA3" s="19">
        <f>AVERAGE(X3:X39)</f>
        <v>108</v>
      </c>
      <c r="AC3" s="14">
        <v>1</v>
      </c>
      <c r="AD3" s="14" t="s">
        <v>113</v>
      </c>
      <c r="AE3" s="14" t="s">
        <v>25</v>
      </c>
      <c r="AF3" s="13">
        <v>50</v>
      </c>
      <c r="AG3" s="13">
        <v>1</v>
      </c>
      <c r="AI3" s="14">
        <f>COUNT(AC3:AC39)</f>
        <v>33</v>
      </c>
      <c r="AJ3" s="14">
        <f>IF(AE3="Basic",AF3,"")</f>
        <v>50</v>
      </c>
      <c r="AK3" s="14" t="str">
        <f>IF(AE3="Stage 1",AF3,"")</f>
        <v/>
      </c>
      <c r="AL3" s="14" t="str">
        <f>IF(AE3="Stage 2",AF3,"")</f>
        <v/>
      </c>
      <c r="AM3" s="19">
        <f>AVERAGE(AJ3:AJ39)</f>
        <v>54.285714285714285</v>
      </c>
      <c r="AN3" s="19">
        <f>AVERAGE(AK3:AK39)</f>
        <v>75.714285714285708</v>
      </c>
      <c r="AO3" s="19">
        <f>AVERAGE(AL3:AL39)</f>
        <v>104</v>
      </c>
      <c r="AQ3" s="14">
        <v>1</v>
      </c>
      <c r="AR3" s="14" t="s">
        <v>147</v>
      </c>
      <c r="AS3" s="14" t="s">
        <v>25</v>
      </c>
      <c r="AT3" s="13">
        <v>40</v>
      </c>
      <c r="AU3" s="13">
        <v>1</v>
      </c>
      <c r="AW3" s="14">
        <f>COUNT(AQ3:AQ38)</f>
        <v>32</v>
      </c>
      <c r="AX3" s="14">
        <f>IF(AS3="Basic",AT3,"")</f>
        <v>40</v>
      </c>
      <c r="AY3" s="14" t="str">
        <f>IF(AS3="Stage 1",AT3,"")</f>
        <v/>
      </c>
      <c r="AZ3" s="14" t="str">
        <f>IF(AS3="Stage 2",AT3,"")</f>
        <v/>
      </c>
      <c r="BA3" s="19">
        <f>AVERAGE(AX3:AX39)</f>
        <v>53.333333333333336</v>
      </c>
      <c r="BB3" s="19">
        <f>AVERAGE(AY3:AY39)</f>
        <v>73</v>
      </c>
      <c r="BC3" s="19">
        <f>AVERAGE(AZ3:AZ39)</f>
        <v>105</v>
      </c>
      <c r="BE3" s="14">
        <v>1</v>
      </c>
      <c r="BF3" s="14" t="s">
        <v>178</v>
      </c>
      <c r="BG3" s="14" t="s">
        <v>25</v>
      </c>
      <c r="BH3" s="13">
        <v>40</v>
      </c>
      <c r="BI3" s="13">
        <v>1</v>
      </c>
      <c r="BK3" s="14">
        <f>COUNT(BE3:BE39)</f>
        <v>34</v>
      </c>
      <c r="BL3" s="14">
        <f>IF(BG3="Basic",BH3,"")</f>
        <v>40</v>
      </c>
      <c r="BM3" s="14" t="str">
        <f>IF(BG3="Stage 1",BH3,"")</f>
        <v/>
      </c>
      <c r="BN3" s="14" t="str">
        <f>IF(BG3="Stage 2",BH3,"")</f>
        <v/>
      </c>
      <c r="BO3" s="19">
        <f>AVERAGE(BL3:BL39)</f>
        <v>52.857142857142854</v>
      </c>
      <c r="BP3" s="19">
        <f>AVERAGE(BM3:BM39)</f>
        <v>75.384615384615387</v>
      </c>
      <c r="BQ3" s="19">
        <f>AVERAGE(BN3:BN39)</f>
        <v>107.14285714285714</v>
      </c>
      <c r="BS3" s="14">
        <v>1</v>
      </c>
      <c r="BT3" s="14" t="s">
        <v>209</v>
      </c>
      <c r="BU3" s="14" t="s">
        <v>25</v>
      </c>
      <c r="BV3" s="13">
        <v>50</v>
      </c>
      <c r="BW3" s="13">
        <v>1</v>
      </c>
      <c r="BY3" s="14">
        <f>COUNT(BS3:BS39)</f>
        <v>33</v>
      </c>
      <c r="BZ3" s="14">
        <f>IF(BU3="Basic",BV3,"")</f>
        <v>50</v>
      </c>
      <c r="CA3" s="14" t="str">
        <f>IF(BU3="Stage 1",BV3,"")</f>
        <v/>
      </c>
      <c r="CB3" s="14" t="str">
        <f>IF(BU3="Stage 2",BV3,"")</f>
        <v/>
      </c>
      <c r="CC3" s="19">
        <f>AVERAGE($BZ$3:$BZ$39)</f>
        <v>51.875</v>
      </c>
      <c r="CD3" s="19">
        <f>AVERAGE(CA3:CA39)</f>
        <v>73.63636363636364</v>
      </c>
      <c r="CE3" s="19">
        <f>AVERAGE(CB3:CB39)</f>
        <v>100</v>
      </c>
      <c r="CG3" s="14">
        <v>1</v>
      </c>
      <c r="CH3" s="14" t="s">
        <v>249</v>
      </c>
      <c r="CI3" s="14" t="s">
        <v>25</v>
      </c>
      <c r="CJ3" s="13">
        <v>50</v>
      </c>
      <c r="CK3" s="13">
        <v>1</v>
      </c>
      <c r="CM3" s="14">
        <f>COUNT(CG3:CG39)</f>
        <v>32</v>
      </c>
      <c r="CN3" s="14">
        <f>IF(CI3="Basic",CJ3,"")</f>
        <v>50</v>
      </c>
      <c r="CO3" s="14" t="str">
        <f>IF(CI3="Stage 1",CJ3,"")</f>
        <v/>
      </c>
      <c r="CP3" s="14" t="str">
        <f>IF(CI3="Stage 2",CJ3,"")</f>
        <v/>
      </c>
      <c r="CQ3" s="19">
        <f>AVERAGE(CN3:CN39)</f>
        <v>50.769230769230766</v>
      </c>
      <c r="CR3" s="19">
        <f>AVERAGE(CO3:CO39)</f>
        <v>74.285714285714292</v>
      </c>
      <c r="CS3" s="19">
        <f>AVERAGE(CP3:CP39)</f>
        <v>98</v>
      </c>
      <c r="CU3" s="13">
        <f>SUM(CM3,BY3,BK3,AW3,AI3,U3,G3)</f>
        <v>231</v>
      </c>
    </row>
    <row r="4" spans="1:99" x14ac:dyDescent="0.25">
      <c r="A4" s="14">
        <v>2</v>
      </c>
      <c r="B4" s="14" t="s">
        <v>23</v>
      </c>
      <c r="C4" s="14" t="s">
        <v>26</v>
      </c>
      <c r="D4" s="13">
        <v>70</v>
      </c>
      <c r="E4" s="13">
        <v>2</v>
      </c>
      <c r="G4" s="14">
        <f>COUNTIF(C3:C39, "Basic")</f>
        <v>17</v>
      </c>
      <c r="H4" s="14" t="str">
        <f t="shared" ref="H4:H39" si="0">IF(C4="Basic",D4,"")</f>
        <v/>
      </c>
      <c r="I4" s="14">
        <f t="shared" ref="I4:I39" si="1">IF(C4="Stage 1",D4,"")</f>
        <v>70</v>
      </c>
      <c r="J4" s="14" t="str">
        <f t="shared" ref="J4:J39" si="2">IF(C4="Stage 2",D4,"")</f>
        <v/>
      </c>
      <c r="K4" s="29" t="s">
        <v>66</v>
      </c>
      <c r="L4" s="29" t="s">
        <v>67</v>
      </c>
      <c r="M4" s="29" t="s">
        <v>68</v>
      </c>
      <c r="O4" s="14">
        <v>2</v>
      </c>
      <c r="P4" s="14" t="s">
        <v>80</v>
      </c>
      <c r="Q4" s="14" t="s">
        <v>26</v>
      </c>
      <c r="R4" s="13">
        <v>80</v>
      </c>
      <c r="S4" s="13">
        <v>2</v>
      </c>
      <c r="U4" s="14">
        <f>COUNTIF(Q3:Q39, "Basic")</f>
        <v>15</v>
      </c>
      <c r="V4" s="14" t="str">
        <f t="shared" ref="V4:V39" si="3">IF(Q4="Basic",R4,"")</f>
        <v/>
      </c>
      <c r="W4" s="14">
        <f t="shared" ref="W4:W39" si="4">IF(Q4="Stage 1",R4,"")</f>
        <v>80</v>
      </c>
      <c r="X4" s="14" t="str">
        <f t="shared" ref="X4:X39" si="5">IF(Q4="Stage 2",R4,"")</f>
        <v/>
      </c>
      <c r="Y4" s="26" t="s">
        <v>66</v>
      </c>
      <c r="Z4" s="26" t="s">
        <v>67</v>
      </c>
      <c r="AA4" s="26" t="s">
        <v>68</v>
      </c>
      <c r="AC4" s="14">
        <v>2</v>
      </c>
      <c r="AD4" s="14" t="s">
        <v>114</v>
      </c>
      <c r="AE4" s="14" t="s">
        <v>26</v>
      </c>
      <c r="AF4" s="13">
        <v>70</v>
      </c>
      <c r="AG4" s="13">
        <v>1</v>
      </c>
      <c r="AI4" s="14">
        <f>COUNTIF(AE3:AE39, "Basic")</f>
        <v>14</v>
      </c>
      <c r="AJ4" s="14" t="str">
        <f>IF(AE4="Basic",AF4,"")</f>
        <v/>
      </c>
      <c r="AK4" s="14">
        <f>IF(AE4="Stage 1",AF4,"")</f>
        <v>70</v>
      </c>
      <c r="AL4" s="14" t="str">
        <f>IF(AE4="Stage 2",AF4,"")</f>
        <v/>
      </c>
      <c r="AM4" s="25" t="s">
        <v>66</v>
      </c>
      <c r="AN4" s="25" t="s">
        <v>67</v>
      </c>
      <c r="AO4" s="25" t="s">
        <v>68</v>
      </c>
      <c r="AQ4" s="14">
        <v>2</v>
      </c>
      <c r="AR4" s="14" t="s">
        <v>148</v>
      </c>
      <c r="AS4" s="14" t="s">
        <v>26</v>
      </c>
      <c r="AT4" s="13">
        <v>70</v>
      </c>
      <c r="AU4" s="13">
        <v>1</v>
      </c>
      <c r="AW4" s="14">
        <f>COUNTIF(AS3:AS38, "Basic")</f>
        <v>18</v>
      </c>
      <c r="AX4" s="14" t="str">
        <f t="shared" ref="AX4:AX39" si="6">IF(AS4="Basic",AT4,"")</f>
        <v/>
      </c>
      <c r="AY4" s="14">
        <f t="shared" ref="AY4:AY39" si="7">IF(AS4="Stage 1",AT4,"")</f>
        <v>70</v>
      </c>
      <c r="AZ4" s="14" t="str">
        <f t="shared" ref="AZ4:AZ39" si="8">IF(AS4="Stage 2",AT4,"")</f>
        <v/>
      </c>
      <c r="BA4" s="24" t="s">
        <v>66</v>
      </c>
      <c r="BB4" s="24" t="s">
        <v>67</v>
      </c>
      <c r="BC4" s="24" t="s">
        <v>68</v>
      </c>
      <c r="BE4" s="14">
        <v>2</v>
      </c>
      <c r="BF4" s="14" t="s">
        <v>179</v>
      </c>
      <c r="BG4" s="14" t="s">
        <v>26</v>
      </c>
      <c r="BH4" s="13">
        <v>70</v>
      </c>
      <c r="BI4" s="13">
        <v>2</v>
      </c>
      <c r="BK4" s="14">
        <f>COUNTIF(BG3:BG39, "Basic")</f>
        <v>14</v>
      </c>
      <c r="BL4" s="14" t="str">
        <f t="shared" ref="BL4:BL39" si="9">IF(BG4="Basic",BH4,"")</f>
        <v/>
      </c>
      <c r="BM4" s="14">
        <f t="shared" ref="BM4:BM39" si="10">IF(BG4="Stage 1",BH4,"")</f>
        <v>70</v>
      </c>
      <c r="BN4" s="14" t="str">
        <f t="shared" ref="BN4:BN39" si="11">IF(BG4="Stage 2",BH4,"")</f>
        <v/>
      </c>
      <c r="BO4" s="23" t="s">
        <v>66</v>
      </c>
      <c r="BP4" s="23" t="s">
        <v>67</v>
      </c>
      <c r="BQ4" s="23" t="s">
        <v>68</v>
      </c>
      <c r="BS4" s="14">
        <v>2</v>
      </c>
      <c r="BT4" s="14" t="s">
        <v>210</v>
      </c>
      <c r="BU4" s="14" t="s">
        <v>26</v>
      </c>
      <c r="BV4" s="13">
        <v>70</v>
      </c>
      <c r="BW4" s="13">
        <v>1</v>
      </c>
      <c r="BY4" s="14">
        <f>COUNTIF(BU3:BU39, "Basic")</f>
        <v>16</v>
      </c>
      <c r="BZ4" s="14" t="str">
        <f t="shared" ref="BZ4:BZ39" si="12">IF(BU4="Basic",BV4,"")</f>
        <v/>
      </c>
      <c r="CA4" s="14">
        <f t="shared" ref="CA4:CA39" si="13">IF(BU4="Stage 1",BV4,"")</f>
        <v>70</v>
      </c>
      <c r="CB4" s="14" t="str">
        <f t="shared" ref="CB4:CB39" si="14">IF(BU4="Stage 2",BV4,"")</f>
        <v/>
      </c>
      <c r="CC4" s="22" t="s">
        <v>66</v>
      </c>
      <c r="CD4" s="22" t="s">
        <v>67</v>
      </c>
      <c r="CE4" s="22" t="s">
        <v>68</v>
      </c>
      <c r="CG4" s="14">
        <v>2</v>
      </c>
      <c r="CH4" s="14" t="s">
        <v>250</v>
      </c>
      <c r="CI4" s="14" t="s">
        <v>26</v>
      </c>
      <c r="CJ4" s="13">
        <v>80</v>
      </c>
      <c r="CK4" s="13">
        <v>2</v>
      </c>
      <c r="CM4" s="14">
        <f>COUNTIF(CI3:CI39, "Basic")</f>
        <v>13</v>
      </c>
      <c r="CN4" s="14" t="str">
        <f t="shared" ref="CN4:CN33" si="15">IF(CI4="Basic",CJ4,"")</f>
        <v/>
      </c>
      <c r="CO4" s="14">
        <f t="shared" ref="CO4:CO33" si="16">IF(CI4="Stage 1",CJ4,"")</f>
        <v>80</v>
      </c>
      <c r="CP4" s="14" t="str">
        <f t="shared" ref="CP4:CP33" si="17">IF(CI4="Stage 2",CJ4,"")</f>
        <v/>
      </c>
      <c r="CQ4" s="28" t="s">
        <v>66</v>
      </c>
      <c r="CR4" s="28" t="s">
        <v>67</v>
      </c>
      <c r="CS4" s="28" t="s">
        <v>68</v>
      </c>
    </row>
    <row r="5" spans="1:99" x14ac:dyDescent="0.25">
      <c r="A5" s="14">
        <v>3</v>
      </c>
      <c r="B5" s="14" t="s">
        <v>24</v>
      </c>
      <c r="C5" s="14" t="s">
        <v>27</v>
      </c>
      <c r="D5" s="13">
        <v>100</v>
      </c>
      <c r="E5" s="13">
        <v>2</v>
      </c>
      <c r="G5" s="14">
        <f>COUNTIF(C3:C39, "Stage 1")</f>
        <v>15</v>
      </c>
      <c r="H5" s="14" t="str">
        <f t="shared" si="0"/>
        <v/>
      </c>
      <c r="I5" s="14" t="str">
        <f t="shared" si="1"/>
        <v/>
      </c>
      <c r="J5" s="14">
        <f t="shared" si="2"/>
        <v>100</v>
      </c>
      <c r="K5" s="19">
        <f>AVERAGE(H41:H77)</f>
        <v>1.1176470588235294</v>
      </c>
      <c r="L5" s="19">
        <f>AVERAGE(I41:I77)</f>
        <v>1.6666666666666667</v>
      </c>
      <c r="M5" s="19">
        <f>AVERAGE(J41:J77)</f>
        <v>1</v>
      </c>
      <c r="O5" s="14">
        <v>3</v>
      </c>
      <c r="P5" s="14" t="s">
        <v>81</v>
      </c>
      <c r="Q5" s="14" t="s">
        <v>27</v>
      </c>
      <c r="R5" s="13">
        <v>120</v>
      </c>
      <c r="S5" s="13">
        <v>3</v>
      </c>
      <c r="U5" s="14">
        <f>COUNTIF(Q3:Q39, "Stage 1")</f>
        <v>11</v>
      </c>
      <c r="V5" s="14" t="str">
        <f t="shared" si="3"/>
        <v/>
      </c>
      <c r="W5" s="14" t="str">
        <f t="shared" si="4"/>
        <v/>
      </c>
      <c r="X5" s="14">
        <f t="shared" si="5"/>
        <v>120</v>
      </c>
      <c r="Y5" s="19">
        <f>AVERAGE(V41:V77)</f>
        <v>1.4</v>
      </c>
      <c r="Z5" s="19">
        <f>AVERAGE(W41:W77)</f>
        <v>1.8181818181818181</v>
      </c>
      <c r="AA5" s="19">
        <f>AVERAGE(X41:X77)</f>
        <v>2.6</v>
      </c>
      <c r="AC5" s="14">
        <v>3</v>
      </c>
      <c r="AD5" s="14" t="s">
        <v>115</v>
      </c>
      <c r="AE5" s="14" t="s">
        <v>27</v>
      </c>
      <c r="AF5" s="13">
        <v>90</v>
      </c>
      <c r="AG5" s="13">
        <v>1</v>
      </c>
      <c r="AI5" s="14">
        <f>COUNTIF(AE3:AE39, "Stage 1")</f>
        <v>14</v>
      </c>
      <c r="AJ5" s="14" t="str">
        <f>IF(AE5="Basic",AF5,"")</f>
        <v/>
      </c>
      <c r="AK5" s="14" t="str">
        <f>IF(AE5="Stage 1",AF5,"")</f>
        <v/>
      </c>
      <c r="AL5" s="14">
        <f>IF(AE5="Stage 2",AF5,"")</f>
        <v>90</v>
      </c>
      <c r="AM5" s="19">
        <f>AVERAGE(AJ41:AJ77)</f>
        <v>1.0714285714285714</v>
      </c>
      <c r="AN5" s="19">
        <f>AVERAGE(AK41:AK77)</f>
        <v>1.5714285714285714</v>
      </c>
      <c r="AO5" s="19">
        <f>AVERAGE(AL41:AL77)</f>
        <v>2</v>
      </c>
      <c r="AQ5" s="14">
        <v>3</v>
      </c>
      <c r="AR5" s="14" t="s">
        <v>150</v>
      </c>
      <c r="AS5" s="14" t="s">
        <v>25</v>
      </c>
      <c r="AT5" s="13">
        <v>50</v>
      </c>
      <c r="AU5" s="13">
        <v>1</v>
      </c>
      <c r="AW5" s="14">
        <f>COUNTIF(AS3:AS38, "Stage 1")</f>
        <v>10</v>
      </c>
      <c r="AX5" s="14">
        <f t="shared" si="6"/>
        <v>50</v>
      </c>
      <c r="AY5" s="14" t="str">
        <f t="shared" si="7"/>
        <v/>
      </c>
      <c r="AZ5" s="14" t="str">
        <f t="shared" si="8"/>
        <v/>
      </c>
      <c r="BA5" s="19">
        <f>AVERAGE(AX41:AX77)</f>
        <v>1.0555555555555556</v>
      </c>
      <c r="BB5" s="19">
        <f>AVERAGE(AY41:AY77)</f>
        <v>1.4</v>
      </c>
      <c r="BC5" s="19">
        <f>AVERAGE(AZ41:AZ77)</f>
        <v>1.75</v>
      </c>
      <c r="BE5" s="14">
        <v>3</v>
      </c>
      <c r="BF5" s="14" t="s">
        <v>180</v>
      </c>
      <c r="BG5" s="14" t="s">
        <v>25</v>
      </c>
      <c r="BH5" s="13">
        <v>50</v>
      </c>
      <c r="BI5" s="13">
        <v>1</v>
      </c>
      <c r="BK5" s="14">
        <f>COUNTIF(BG3:BG39, "Stage 1")</f>
        <v>13</v>
      </c>
      <c r="BL5" s="14">
        <f t="shared" si="9"/>
        <v>50</v>
      </c>
      <c r="BM5" s="14" t="str">
        <f t="shared" si="10"/>
        <v/>
      </c>
      <c r="BN5" s="14" t="str">
        <f t="shared" si="11"/>
        <v/>
      </c>
      <c r="BO5" s="19">
        <f>AVERAGE(BL41:BL77)</f>
        <v>1.0714285714285714</v>
      </c>
      <c r="BP5" s="19">
        <f>AVERAGE(BM41:BM77)</f>
        <v>1.8461538461538463</v>
      </c>
      <c r="BQ5" s="19">
        <f>AVERAGE(BN41:BN77)</f>
        <v>2.4285714285714284</v>
      </c>
      <c r="BS5" s="14">
        <v>3</v>
      </c>
      <c r="BT5" s="14" t="s">
        <v>211</v>
      </c>
      <c r="BU5" s="14" t="s">
        <v>27</v>
      </c>
      <c r="BV5" s="13">
        <v>100</v>
      </c>
      <c r="BW5" s="13">
        <v>2</v>
      </c>
      <c r="BY5" s="14">
        <f>COUNTIF(BU3:BU39, "Stage 1")</f>
        <v>11</v>
      </c>
      <c r="BZ5" s="14" t="str">
        <f t="shared" si="12"/>
        <v/>
      </c>
      <c r="CA5" s="14" t="str">
        <f t="shared" si="13"/>
        <v/>
      </c>
      <c r="CB5" s="14">
        <f t="shared" si="14"/>
        <v>100</v>
      </c>
      <c r="CC5" s="19">
        <f>AVERAGE(BZ41:BZ77)</f>
        <v>1.125</v>
      </c>
      <c r="CD5" s="19">
        <f>AVERAGE(CA41:CA77)</f>
        <v>1.4545454545454546</v>
      </c>
      <c r="CE5" s="19">
        <f>AVERAGE(CB41:CB77)</f>
        <v>2.1666666666666665</v>
      </c>
      <c r="CG5" s="14">
        <v>3</v>
      </c>
      <c r="CH5" s="14" t="s">
        <v>251</v>
      </c>
      <c r="CI5" s="14" t="s">
        <v>27</v>
      </c>
      <c r="CJ5" s="13">
        <v>100</v>
      </c>
      <c r="CK5" s="13">
        <v>3</v>
      </c>
      <c r="CM5" s="14">
        <f>COUNTIF(CI3:CI39, "Stage 1")</f>
        <v>14</v>
      </c>
      <c r="CN5" s="14" t="str">
        <f t="shared" si="15"/>
        <v/>
      </c>
      <c r="CO5" s="14" t="str">
        <f t="shared" si="16"/>
        <v/>
      </c>
      <c r="CP5" s="14">
        <f t="shared" si="17"/>
        <v>100</v>
      </c>
      <c r="CQ5" s="19">
        <f>AVERAGE(CN41:CN77)</f>
        <v>1</v>
      </c>
      <c r="CR5" s="19">
        <f>AVERAGE(CO41:CO77)</f>
        <v>1.5</v>
      </c>
      <c r="CS5" s="19">
        <f>AVERAGE(CP41:CP77)</f>
        <v>1.6</v>
      </c>
    </row>
    <row r="6" spans="1:99" x14ac:dyDescent="0.25">
      <c r="A6" s="14">
        <v>4</v>
      </c>
      <c r="B6" s="14" t="s">
        <v>28</v>
      </c>
      <c r="C6" s="14" t="s">
        <v>25</v>
      </c>
      <c r="D6" s="13">
        <v>70</v>
      </c>
      <c r="E6" s="13">
        <v>1</v>
      </c>
      <c r="G6" s="14">
        <f>COUNTIF(C3:C39, "Stage 2")</f>
        <v>4</v>
      </c>
      <c r="H6" s="14">
        <f t="shared" si="0"/>
        <v>70</v>
      </c>
      <c r="I6" s="14" t="str">
        <f t="shared" si="1"/>
        <v/>
      </c>
      <c r="J6" s="14" t="str">
        <f t="shared" si="2"/>
        <v/>
      </c>
      <c r="K6" s="29" t="s">
        <v>236</v>
      </c>
      <c r="L6" s="29" t="s">
        <v>237</v>
      </c>
      <c r="M6" s="29" t="s">
        <v>238</v>
      </c>
      <c r="O6" s="14">
        <v>4</v>
      </c>
      <c r="P6" s="14" t="s">
        <v>82</v>
      </c>
      <c r="Q6" s="14" t="s">
        <v>25</v>
      </c>
      <c r="R6" s="13">
        <v>50</v>
      </c>
      <c r="S6" s="13">
        <v>1</v>
      </c>
      <c r="U6" s="14">
        <f>COUNTIF(Q3:Q39, "Stage 2")</f>
        <v>5</v>
      </c>
      <c r="V6" s="14">
        <f t="shared" si="3"/>
        <v>50</v>
      </c>
      <c r="W6" s="14" t="str">
        <f t="shared" si="4"/>
        <v/>
      </c>
      <c r="X6" s="14" t="str">
        <f t="shared" si="5"/>
        <v/>
      </c>
      <c r="Y6" s="26" t="s">
        <v>236</v>
      </c>
      <c r="Z6" s="26" t="s">
        <v>237</v>
      </c>
      <c r="AA6" s="26" t="s">
        <v>238</v>
      </c>
      <c r="AC6" s="14">
        <v>4</v>
      </c>
      <c r="AD6" s="14" t="s">
        <v>116</v>
      </c>
      <c r="AE6" s="14" t="s">
        <v>25</v>
      </c>
      <c r="AF6" s="13">
        <v>40</v>
      </c>
      <c r="AG6" s="13">
        <v>0</v>
      </c>
      <c r="AI6" s="14">
        <f>COUNTIF(AE3:AE39, "Stage 2")</f>
        <v>5</v>
      </c>
      <c r="AJ6" s="14">
        <f>IF(AE6="Basic",AF6,"")</f>
        <v>40</v>
      </c>
      <c r="AK6" s="14" t="str">
        <f>IF(AE6="Stage 1",AF6,"")</f>
        <v/>
      </c>
      <c r="AL6" s="14" t="str">
        <f>IF(AE6="Stage 2",AF6,"")</f>
        <v/>
      </c>
      <c r="AM6" s="25" t="s">
        <v>236</v>
      </c>
      <c r="AN6" s="25" t="s">
        <v>237</v>
      </c>
      <c r="AO6" s="25" t="s">
        <v>238</v>
      </c>
      <c r="AQ6" s="14">
        <v>4</v>
      </c>
      <c r="AR6" s="14" t="s">
        <v>151</v>
      </c>
      <c r="AS6" s="14" t="s">
        <v>26</v>
      </c>
      <c r="AT6" s="13">
        <v>70</v>
      </c>
      <c r="AU6" s="13">
        <v>1</v>
      </c>
      <c r="AW6" s="14">
        <f>COUNTIF(AS3:AS38, "Stage 2")</f>
        <v>4</v>
      </c>
      <c r="AX6" s="14" t="str">
        <f t="shared" si="6"/>
        <v/>
      </c>
      <c r="AY6" s="14">
        <f t="shared" si="7"/>
        <v>70</v>
      </c>
      <c r="AZ6" s="14" t="str">
        <f t="shared" si="8"/>
        <v/>
      </c>
      <c r="BA6" s="24" t="s">
        <v>236</v>
      </c>
      <c r="BB6" s="24" t="s">
        <v>237</v>
      </c>
      <c r="BC6" s="24" t="s">
        <v>238</v>
      </c>
      <c r="BE6" s="14">
        <v>4</v>
      </c>
      <c r="BF6" s="14" t="s">
        <v>181</v>
      </c>
      <c r="BG6" s="14" t="s">
        <v>26</v>
      </c>
      <c r="BH6" s="13">
        <v>80</v>
      </c>
      <c r="BI6" s="13">
        <v>2</v>
      </c>
      <c r="BK6" s="14">
        <f>COUNTIF(BG3:BG39, "Stage 2")</f>
        <v>7</v>
      </c>
      <c r="BL6" s="14" t="str">
        <f t="shared" si="9"/>
        <v/>
      </c>
      <c r="BM6" s="14">
        <f t="shared" si="10"/>
        <v>80</v>
      </c>
      <c r="BN6" s="14" t="str">
        <f t="shared" si="11"/>
        <v/>
      </c>
      <c r="BO6" s="23" t="s">
        <v>236</v>
      </c>
      <c r="BP6" s="23" t="s">
        <v>237</v>
      </c>
      <c r="BQ6" s="23" t="s">
        <v>238</v>
      </c>
      <c r="BS6" s="14">
        <v>4</v>
      </c>
      <c r="BT6" s="14" t="s">
        <v>213</v>
      </c>
      <c r="BU6" s="14" t="s">
        <v>25</v>
      </c>
      <c r="BV6" s="13">
        <v>50</v>
      </c>
      <c r="BW6" s="13">
        <v>1</v>
      </c>
      <c r="BY6" s="14">
        <f>COUNTIF(BU3:BU39, "Stage 2")</f>
        <v>6</v>
      </c>
      <c r="BZ6" s="14">
        <f t="shared" si="12"/>
        <v>50</v>
      </c>
      <c r="CA6" s="14" t="str">
        <f t="shared" si="13"/>
        <v/>
      </c>
      <c r="CB6" s="14" t="str">
        <f t="shared" si="14"/>
        <v/>
      </c>
      <c r="CC6" s="22" t="s">
        <v>236</v>
      </c>
      <c r="CD6" s="22" t="s">
        <v>237</v>
      </c>
      <c r="CE6" s="22" t="s">
        <v>238</v>
      </c>
      <c r="CG6" s="14">
        <v>4</v>
      </c>
      <c r="CH6" s="14" t="s">
        <v>252</v>
      </c>
      <c r="CI6" s="14" t="s">
        <v>25</v>
      </c>
      <c r="CJ6" s="13">
        <v>50</v>
      </c>
      <c r="CK6" s="13">
        <v>1</v>
      </c>
      <c r="CM6" s="14">
        <f>COUNTIF(CI3:CI39, "Stage 2")</f>
        <v>5</v>
      </c>
      <c r="CN6" s="14">
        <f t="shared" si="15"/>
        <v>50</v>
      </c>
      <c r="CO6" s="14" t="str">
        <f t="shared" si="16"/>
        <v/>
      </c>
      <c r="CP6" s="14" t="str">
        <f t="shared" si="17"/>
        <v/>
      </c>
      <c r="CQ6" s="28" t="s">
        <v>236</v>
      </c>
      <c r="CR6" s="28" t="s">
        <v>237</v>
      </c>
      <c r="CS6" s="28" t="s">
        <v>238</v>
      </c>
    </row>
    <row r="7" spans="1:99" x14ac:dyDescent="0.25">
      <c r="A7" s="14">
        <v>5</v>
      </c>
      <c r="B7" s="14" t="s">
        <v>29</v>
      </c>
      <c r="C7" s="14" t="s">
        <v>25</v>
      </c>
      <c r="D7" s="13">
        <v>40</v>
      </c>
      <c r="E7" s="13">
        <v>1</v>
      </c>
      <c r="G7" s="14">
        <f>SUM(G4:G6)</f>
        <v>36</v>
      </c>
      <c r="H7" s="14">
        <f t="shared" si="0"/>
        <v>40</v>
      </c>
      <c r="I7" s="14" t="str">
        <f t="shared" si="1"/>
        <v/>
      </c>
      <c r="J7" s="14" t="str">
        <f t="shared" si="2"/>
        <v/>
      </c>
      <c r="K7" s="19">
        <f>MAX(H$3:H$39)</f>
        <v>70</v>
      </c>
      <c r="L7" s="19">
        <f>MAX(I$3:I$39)</f>
        <v>100</v>
      </c>
      <c r="M7" s="19">
        <f>MAX(J$3:J$39)</f>
        <v>100</v>
      </c>
      <c r="O7" s="14">
        <v>5</v>
      </c>
      <c r="P7" s="14" t="s">
        <v>83</v>
      </c>
      <c r="Q7" s="14" t="s">
        <v>26</v>
      </c>
      <c r="R7" s="13">
        <v>70</v>
      </c>
      <c r="S7" s="13">
        <v>1</v>
      </c>
      <c r="U7" s="14">
        <f>SUM(U4:U6)</f>
        <v>31</v>
      </c>
      <c r="V7" s="14" t="str">
        <f t="shared" si="3"/>
        <v/>
      </c>
      <c r="W7" s="14">
        <f t="shared" si="4"/>
        <v>70</v>
      </c>
      <c r="X7" s="14" t="str">
        <f t="shared" si="5"/>
        <v/>
      </c>
      <c r="Y7" s="19">
        <f>MAX(V$3:V$39)</f>
        <v>100</v>
      </c>
      <c r="Z7" s="19">
        <f>MAX(W$3:W$39)</f>
        <v>90</v>
      </c>
      <c r="AA7" s="19">
        <f>MAX(X$3:X$39)</f>
        <v>120</v>
      </c>
      <c r="AC7" s="14">
        <v>5</v>
      </c>
      <c r="AD7" s="14" t="s">
        <v>117</v>
      </c>
      <c r="AE7" s="14" t="s">
        <v>26</v>
      </c>
      <c r="AF7" s="13">
        <v>70</v>
      </c>
      <c r="AG7" s="13">
        <v>1</v>
      </c>
      <c r="AI7" s="14">
        <f>SUM(AI4:AI6)</f>
        <v>33</v>
      </c>
      <c r="AJ7" s="14" t="str">
        <f>IF(AE7="Basic",AF7,"")</f>
        <v/>
      </c>
      <c r="AK7" s="14">
        <f>IF(AE7="Stage 1",AF7,"")</f>
        <v>70</v>
      </c>
      <c r="AL7" s="14" t="str">
        <f>IF(AE7="Stage 2",AF7,"")</f>
        <v/>
      </c>
      <c r="AM7" s="19">
        <f>MAX(AJ$3:AJ$39)</f>
        <v>80</v>
      </c>
      <c r="AN7" s="19">
        <f>MAX(AK$3:AK$39)</f>
        <v>90</v>
      </c>
      <c r="AO7" s="19">
        <f>MAX(AL$3:AL$39)</f>
        <v>110</v>
      </c>
      <c r="AQ7" s="14">
        <v>5</v>
      </c>
      <c r="AR7" s="14" t="s">
        <v>149</v>
      </c>
      <c r="AS7" s="14" t="s">
        <v>25</v>
      </c>
      <c r="AT7" s="13">
        <v>70</v>
      </c>
      <c r="AU7" s="13">
        <v>2</v>
      </c>
      <c r="AW7" s="14">
        <f>SUM(AW4:AW6)</f>
        <v>32</v>
      </c>
      <c r="AX7" s="14">
        <f t="shared" si="6"/>
        <v>70</v>
      </c>
      <c r="AY7" s="14" t="str">
        <f t="shared" si="7"/>
        <v/>
      </c>
      <c r="AZ7" s="14" t="str">
        <f t="shared" si="8"/>
        <v/>
      </c>
      <c r="BA7" s="19">
        <f>MAX(AX$3:AX$39)</f>
        <v>90</v>
      </c>
      <c r="BB7" s="19">
        <f>MAX(AY$3:AY$39)</f>
        <v>90</v>
      </c>
      <c r="BC7" s="19">
        <f>MAX(AZ$3:AZ$39)</f>
        <v>110</v>
      </c>
      <c r="BE7" s="14">
        <v>5</v>
      </c>
      <c r="BF7" s="14" t="s">
        <v>182</v>
      </c>
      <c r="BG7" s="14" t="s">
        <v>25</v>
      </c>
      <c r="BH7" s="13">
        <v>50</v>
      </c>
      <c r="BI7" s="13">
        <v>1</v>
      </c>
      <c r="BK7" s="14">
        <f>SUM(BK4:BK6)</f>
        <v>34</v>
      </c>
      <c r="BL7" s="14">
        <f t="shared" si="9"/>
        <v>50</v>
      </c>
      <c r="BM7" s="14" t="str">
        <f t="shared" si="10"/>
        <v/>
      </c>
      <c r="BN7" s="14" t="str">
        <f t="shared" si="11"/>
        <v/>
      </c>
      <c r="BO7" s="19">
        <f>MAX(BL$3:BL$39)</f>
        <v>70</v>
      </c>
      <c r="BP7" s="19">
        <f>MAX(BM$3:BM$39)</f>
        <v>100</v>
      </c>
      <c r="BQ7" s="19">
        <f>MAX(BN$3:BN$39)</f>
        <v>120</v>
      </c>
      <c r="BS7" s="14">
        <v>5</v>
      </c>
      <c r="BT7" s="14" t="s">
        <v>212</v>
      </c>
      <c r="BU7" s="14" t="s">
        <v>26</v>
      </c>
      <c r="BV7" s="13">
        <v>70</v>
      </c>
      <c r="BW7" s="13">
        <v>1</v>
      </c>
      <c r="BY7" s="14">
        <f>SUM(BY4:BY6)</f>
        <v>33</v>
      </c>
      <c r="BZ7" s="14" t="str">
        <f t="shared" si="12"/>
        <v/>
      </c>
      <c r="CA7" s="14">
        <f t="shared" si="13"/>
        <v>70</v>
      </c>
      <c r="CB7" s="14" t="str">
        <f t="shared" si="14"/>
        <v/>
      </c>
      <c r="CC7" s="19">
        <f>MAX(BZ$3:BZ$39)</f>
        <v>80</v>
      </c>
      <c r="CD7" s="19">
        <f>MAX(CA$3:CA$39)</f>
        <v>80</v>
      </c>
      <c r="CE7" s="19">
        <f>MAX(CB$3:CB$39)</f>
        <v>120</v>
      </c>
      <c r="CG7" s="14">
        <v>5</v>
      </c>
      <c r="CH7" s="14" t="s">
        <v>253</v>
      </c>
      <c r="CI7" s="14" t="s">
        <v>26</v>
      </c>
      <c r="CJ7" s="13">
        <v>80</v>
      </c>
      <c r="CK7" s="13">
        <v>2</v>
      </c>
      <c r="CM7" s="14">
        <f>SUM(CM4:CM6)</f>
        <v>32</v>
      </c>
      <c r="CN7" s="14" t="str">
        <f t="shared" si="15"/>
        <v/>
      </c>
      <c r="CO7" s="14">
        <f t="shared" si="16"/>
        <v>80</v>
      </c>
      <c r="CP7" s="14" t="str">
        <f t="shared" si="17"/>
        <v/>
      </c>
      <c r="CQ7" s="19">
        <f>MAX(CN$3:CN$39)</f>
        <v>80</v>
      </c>
      <c r="CR7" s="19">
        <f>MAX(CO$3:CO$39)</f>
        <v>90</v>
      </c>
      <c r="CS7" s="19">
        <f>MAX(CP$3:CP$39)</f>
        <v>110</v>
      </c>
    </row>
    <row r="8" spans="1:99" x14ac:dyDescent="0.25">
      <c r="A8" s="14">
        <v>6</v>
      </c>
      <c r="B8" s="14" t="s">
        <v>30</v>
      </c>
      <c r="C8" s="14" t="s">
        <v>26</v>
      </c>
      <c r="D8" s="13">
        <v>70</v>
      </c>
      <c r="E8" s="13">
        <v>2</v>
      </c>
      <c r="H8" s="14" t="str">
        <f t="shared" si="0"/>
        <v/>
      </c>
      <c r="I8" s="14">
        <f t="shared" si="1"/>
        <v>70</v>
      </c>
      <c r="J8" s="14" t="str">
        <f t="shared" si="2"/>
        <v/>
      </c>
      <c r="K8" s="29" t="s">
        <v>239</v>
      </c>
      <c r="L8" s="29" t="s">
        <v>240</v>
      </c>
      <c r="M8" s="29" t="s">
        <v>241</v>
      </c>
      <c r="O8" s="14">
        <v>6</v>
      </c>
      <c r="P8" s="14" t="s">
        <v>84</v>
      </c>
      <c r="Q8" s="14" t="s">
        <v>27</v>
      </c>
      <c r="R8" s="13">
        <v>100</v>
      </c>
      <c r="S8" s="13">
        <v>2</v>
      </c>
      <c r="V8" s="14" t="str">
        <f t="shared" si="3"/>
        <v/>
      </c>
      <c r="W8" s="14" t="str">
        <f t="shared" si="4"/>
        <v/>
      </c>
      <c r="X8" s="14">
        <f t="shared" si="5"/>
        <v>100</v>
      </c>
      <c r="Y8" s="26" t="s">
        <v>239</v>
      </c>
      <c r="Z8" s="26" t="s">
        <v>240</v>
      </c>
      <c r="AA8" s="26" t="s">
        <v>241</v>
      </c>
      <c r="AC8" s="14">
        <v>6</v>
      </c>
      <c r="AD8" s="14" t="s">
        <v>118</v>
      </c>
      <c r="AE8" s="14" t="s">
        <v>25</v>
      </c>
      <c r="AF8" s="13">
        <v>60</v>
      </c>
      <c r="AG8" s="13">
        <v>1</v>
      </c>
      <c r="AJ8" s="14">
        <f t="shared" ref="AJ8:AJ35" si="18">IF(AE8="Basic",AF8,"")</f>
        <v>60</v>
      </c>
      <c r="AK8" s="14" t="str">
        <f t="shared" ref="AK8:AK35" si="19">IF(AE8="Stage 1",AF8,"")</f>
        <v/>
      </c>
      <c r="AL8" s="14" t="str">
        <f t="shared" ref="AL8:AL35" si="20">IF(AE8="Stage 2",AF8,"")</f>
        <v/>
      </c>
      <c r="AM8" s="25" t="s">
        <v>239</v>
      </c>
      <c r="AN8" s="25" t="s">
        <v>240</v>
      </c>
      <c r="AO8" s="25" t="s">
        <v>241</v>
      </c>
      <c r="AQ8" s="14">
        <v>6</v>
      </c>
      <c r="AR8" s="14" t="s">
        <v>152</v>
      </c>
      <c r="AS8" s="14" t="s">
        <v>25</v>
      </c>
      <c r="AT8" s="13">
        <v>50</v>
      </c>
      <c r="AU8" s="13">
        <v>1</v>
      </c>
      <c r="AX8" s="14">
        <f t="shared" si="6"/>
        <v>50</v>
      </c>
      <c r="AY8" s="14" t="str">
        <f t="shared" si="7"/>
        <v/>
      </c>
      <c r="AZ8" s="14" t="str">
        <f t="shared" si="8"/>
        <v/>
      </c>
      <c r="BA8" s="24" t="s">
        <v>239</v>
      </c>
      <c r="BB8" s="24" t="s">
        <v>240</v>
      </c>
      <c r="BC8" s="24" t="s">
        <v>241</v>
      </c>
      <c r="BE8" s="14">
        <v>6</v>
      </c>
      <c r="BF8" s="14" t="s">
        <v>183</v>
      </c>
      <c r="BG8" s="14" t="s">
        <v>26</v>
      </c>
      <c r="BH8" s="13">
        <v>80</v>
      </c>
      <c r="BI8" s="13">
        <v>2</v>
      </c>
      <c r="BL8" s="14" t="str">
        <f t="shared" si="9"/>
        <v/>
      </c>
      <c r="BM8" s="14">
        <f t="shared" si="10"/>
        <v>80</v>
      </c>
      <c r="BN8" s="14" t="str">
        <f t="shared" si="11"/>
        <v/>
      </c>
      <c r="BO8" s="23" t="s">
        <v>239</v>
      </c>
      <c r="BP8" s="23" t="s">
        <v>240</v>
      </c>
      <c r="BQ8" s="23" t="s">
        <v>241</v>
      </c>
      <c r="BS8" s="14">
        <v>6</v>
      </c>
      <c r="BT8" s="14" t="s">
        <v>214</v>
      </c>
      <c r="BU8" s="14" t="s">
        <v>25</v>
      </c>
      <c r="BV8" s="13">
        <v>40</v>
      </c>
      <c r="BW8" s="13">
        <v>0</v>
      </c>
      <c r="BZ8" s="14">
        <f t="shared" si="12"/>
        <v>40</v>
      </c>
      <c r="CA8" s="14" t="str">
        <f t="shared" si="13"/>
        <v/>
      </c>
      <c r="CB8" s="14" t="str">
        <f t="shared" si="14"/>
        <v/>
      </c>
      <c r="CC8" s="22" t="s">
        <v>239</v>
      </c>
      <c r="CD8" s="22" t="s">
        <v>240</v>
      </c>
      <c r="CE8" s="22" t="s">
        <v>241</v>
      </c>
      <c r="CG8" s="14">
        <v>6</v>
      </c>
      <c r="CH8" s="14" t="s">
        <v>254</v>
      </c>
      <c r="CI8" s="14" t="s">
        <v>25</v>
      </c>
      <c r="CJ8" s="13">
        <v>50</v>
      </c>
      <c r="CK8" s="13">
        <v>1</v>
      </c>
      <c r="CN8" s="14">
        <f t="shared" si="15"/>
        <v>50</v>
      </c>
      <c r="CO8" s="14" t="str">
        <f t="shared" si="16"/>
        <v/>
      </c>
      <c r="CP8" s="14" t="str">
        <f t="shared" si="17"/>
        <v/>
      </c>
      <c r="CQ8" s="28" t="s">
        <v>239</v>
      </c>
      <c r="CR8" s="28" t="s">
        <v>240</v>
      </c>
      <c r="CS8" s="28" t="s">
        <v>241</v>
      </c>
    </row>
    <row r="9" spans="1:99" x14ac:dyDescent="0.25">
      <c r="A9" s="14">
        <v>7</v>
      </c>
      <c r="B9" s="14" t="s">
        <v>280</v>
      </c>
      <c r="C9" s="14" t="s">
        <v>27</v>
      </c>
      <c r="D9" s="13">
        <v>90</v>
      </c>
      <c r="E9" s="13">
        <v>0</v>
      </c>
      <c r="H9" s="14" t="str">
        <f t="shared" si="0"/>
        <v/>
      </c>
      <c r="I9" s="14" t="str">
        <f t="shared" si="1"/>
        <v/>
      </c>
      <c r="J9" s="14">
        <f t="shared" si="2"/>
        <v>90</v>
      </c>
      <c r="K9" s="19">
        <f>MIN(H$3:H$39)</f>
        <v>40</v>
      </c>
      <c r="L9" s="19">
        <f>MIN(I$3:I$39)</f>
        <v>70</v>
      </c>
      <c r="M9" s="19">
        <f>MIN(J$3:J$39)</f>
        <v>90</v>
      </c>
      <c r="O9" s="14">
        <v>7</v>
      </c>
      <c r="P9" s="14" t="s">
        <v>85</v>
      </c>
      <c r="Q9" s="14" t="s">
        <v>25</v>
      </c>
      <c r="R9" s="13">
        <v>40</v>
      </c>
      <c r="S9" s="13">
        <v>1</v>
      </c>
      <c r="V9" s="14">
        <f t="shared" si="3"/>
        <v>40</v>
      </c>
      <c r="W9" s="14" t="str">
        <f t="shared" si="4"/>
        <v/>
      </c>
      <c r="X9" s="14" t="str">
        <f t="shared" si="5"/>
        <v/>
      </c>
      <c r="Y9" s="19">
        <f>MIN(V$3:V$39)</f>
        <v>30</v>
      </c>
      <c r="Z9" s="19">
        <f>MIN(W$3:W$39)</f>
        <v>70</v>
      </c>
      <c r="AA9" s="19">
        <f>MIN(X$3:X$39)</f>
        <v>100</v>
      </c>
      <c r="AC9" s="14">
        <v>7</v>
      </c>
      <c r="AD9" s="14" t="s">
        <v>119</v>
      </c>
      <c r="AE9" s="14" t="s">
        <v>25</v>
      </c>
      <c r="AF9" s="13">
        <v>50</v>
      </c>
      <c r="AG9" s="13">
        <v>1</v>
      </c>
      <c r="AJ9" s="14">
        <f t="shared" si="18"/>
        <v>50</v>
      </c>
      <c r="AK9" s="14" t="str">
        <f t="shared" si="19"/>
        <v/>
      </c>
      <c r="AL9" s="14" t="str">
        <f t="shared" si="20"/>
        <v/>
      </c>
      <c r="AM9" s="19">
        <f>MIN(AJ$3:AJ$39)</f>
        <v>40</v>
      </c>
      <c r="AN9" s="19">
        <f>MIN(AK$3:AK$39)</f>
        <v>60</v>
      </c>
      <c r="AO9" s="19">
        <f>MIN(AL$3:AL$39)</f>
        <v>90</v>
      </c>
      <c r="AQ9" s="14">
        <v>7</v>
      </c>
      <c r="AR9" s="14" t="s">
        <v>153</v>
      </c>
      <c r="AS9" s="14" t="s">
        <v>26</v>
      </c>
      <c r="AT9" s="13">
        <v>70</v>
      </c>
      <c r="AU9" s="13">
        <v>1</v>
      </c>
      <c r="AX9" s="14" t="str">
        <f t="shared" si="6"/>
        <v/>
      </c>
      <c r="AY9" s="14">
        <f t="shared" si="7"/>
        <v>70</v>
      </c>
      <c r="AZ9" s="14" t="str">
        <f t="shared" si="8"/>
        <v/>
      </c>
      <c r="BA9" s="19">
        <f>MIN(AX$3:AX$39)</f>
        <v>30</v>
      </c>
      <c r="BB9" s="19">
        <f>MIN(AY$3:AY$39)</f>
        <v>70</v>
      </c>
      <c r="BC9" s="19">
        <f>MIN(AZ$3:AZ$39)</f>
        <v>100</v>
      </c>
      <c r="BE9" s="14">
        <v>7</v>
      </c>
      <c r="BF9" s="14" t="s">
        <v>184</v>
      </c>
      <c r="BG9" s="14" t="s">
        <v>27</v>
      </c>
      <c r="BH9" s="13">
        <v>110</v>
      </c>
      <c r="BI9" s="13">
        <v>3</v>
      </c>
      <c r="BL9" s="14" t="str">
        <f t="shared" si="9"/>
        <v/>
      </c>
      <c r="BM9" s="14" t="str">
        <f t="shared" si="10"/>
        <v/>
      </c>
      <c r="BN9" s="14">
        <f t="shared" si="11"/>
        <v>110</v>
      </c>
      <c r="BO9" s="19">
        <f>MIN(BL$3:BL$39)</f>
        <v>30</v>
      </c>
      <c r="BP9" s="19">
        <f>MIN(BM$3:BM$39)</f>
        <v>60</v>
      </c>
      <c r="BQ9" s="19">
        <f>MIN(BN$3:BN$39)</f>
        <v>100</v>
      </c>
      <c r="BS9" s="14">
        <v>7</v>
      </c>
      <c r="BT9" s="14" t="s">
        <v>215</v>
      </c>
      <c r="BU9" s="14" t="s">
        <v>26</v>
      </c>
      <c r="BV9" s="13">
        <v>70</v>
      </c>
      <c r="BW9" s="13">
        <v>2</v>
      </c>
      <c r="BZ9" s="14" t="str">
        <f t="shared" si="12"/>
        <v/>
      </c>
      <c r="CA9" s="14">
        <f t="shared" si="13"/>
        <v>70</v>
      </c>
      <c r="CB9" s="14" t="str">
        <f t="shared" si="14"/>
        <v/>
      </c>
      <c r="CC9" s="19">
        <f>MIN(BZ$3:BZ$39)</f>
        <v>30</v>
      </c>
      <c r="CD9" s="19">
        <f>MIN(CA$3:CA$39)</f>
        <v>70</v>
      </c>
      <c r="CE9" s="19">
        <f>MIN(CB$3:CB$39)</f>
        <v>90</v>
      </c>
      <c r="CG9" s="14">
        <v>7</v>
      </c>
      <c r="CH9" s="14" t="s">
        <v>255</v>
      </c>
      <c r="CI9" s="14" t="s">
        <v>26</v>
      </c>
      <c r="CJ9" s="13">
        <v>70</v>
      </c>
      <c r="CK9" s="13">
        <v>1</v>
      </c>
      <c r="CN9" s="14" t="str">
        <f t="shared" si="15"/>
        <v/>
      </c>
      <c r="CO9" s="14">
        <f t="shared" si="16"/>
        <v>70</v>
      </c>
      <c r="CP9" s="14" t="str">
        <f t="shared" si="17"/>
        <v/>
      </c>
      <c r="CQ9" s="19">
        <f>MIN(CN$3:CN$39)</f>
        <v>30</v>
      </c>
      <c r="CR9" s="19">
        <f>MIN(CO$3:CO$39)</f>
        <v>60</v>
      </c>
      <c r="CS9" s="19">
        <f>MIN(CP$3:CP$39)</f>
        <v>90</v>
      </c>
    </row>
    <row r="10" spans="1:99" x14ac:dyDescent="0.25">
      <c r="A10" s="14">
        <v>8</v>
      </c>
      <c r="B10" s="14" t="s">
        <v>32</v>
      </c>
      <c r="C10" s="14" t="s">
        <v>25</v>
      </c>
      <c r="D10" s="13">
        <v>50</v>
      </c>
      <c r="E10" s="13">
        <v>0</v>
      </c>
      <c r="H10" s="14">
        <f t="shared" si="0"/>
        <v>50</v>
      </c>
      <c r="I10" s="14" t="str">
        <f t="shared" si="1"/>
        <v/>
      </c>
      <c r="J10" s="14" t="str">
        <f t="shared" si="2"/>
        <v/>
      </c>
      <c r="K10" s="29" t="s">
        <v>242</v>
      </c>
      <c r="L10" s="29" t="s">
        <v>244</v>
      </c>
      <c r="M10" s="29" t="s">
        <v>246</v>
      </c>
      <c r="O10" s="14">
        <v>8</v>
      </c>
      <c r="P10" s="14" t="s">
        <v>86</v>
      </c>
      <c r="Q10" s="14" t="s">
        <v>26</v>
      </c>
      <c r="R10" s="13">
        <v>80</v>
      </c>
      <c r="S10" s="13">
        <v>2</v>
      </c>
      <c r="V10" s="14" t="str">
        <f t="shared" si="3"/>
        <v/>
      </c>
      <c r="W10" s="14">
        <f t="shared" si="4"/>
        <v>80</v>
      </c>
      <c r="X10" s="14" t="str">
        <f t="shared" si="5"/>
        <v/>
      </c>
      <c r="Y10" s="26" t="s">
        <v>242</v>
      </c>
      <c r="Z10" s="26" t="s">
        <v>244</v>
      </c>
      <c r="AA10" s="26" t="s">
        <v>246</v>
      </c>
      <c r="AC10" s="14">
        <v>8</v>
      </c>
      <c r="AD10" s="14" t="s">
        <v>120</v>
      </c>
      <c r="AE10" s="14" t="s">
        <v>26</v>
      </c>
      <c r="AF10" s="13">
        <v>80</v>
      </c>
      <c r="AG10" s="13">
        <v>2</v>
      </c>
      <c r="AJ10" s="14" t="str">
        <f t="shared" si="18"/>
        <v/>
      </c>
      <c r="AK10" s="14">
        <f t="shared" si="19"/>
        <v>80</v>
      </c>
      <c r="AL10" s="14" t="str">
        <f t="shared" si="20"/>
        <v/>
      </c>
      <c r="AM10" s="25" t="s">
        <v>242</v>
      </c>
      <c r="AN10" s="25" t="s">
        <v>244</v>
      </c>
      <c r="AO10" s="25" t="s">
        <v>246</v>
      </c>
      <c r="AQ10" s="14">
        <v>8</v>
      </c>
      <c r="AR10" s="14" t="s">
        <v>154</v>
      </c>
      <c r="AS10" s="14" t="s">
        <v>27</v>
      </c>
      <c r="AT10" s="13">
        <v>100</v>
      </c>
      <c r="AU10" s="13">
        <v>1</v>
      </c>
      <c r="AX10" s="14" t="str">
        <f t="shared" si="6"/>
        <v/>
      </c>
      <c r="AY10" s="14" t="str">
        <f t="shared" si="7"/>
        <v/>
      </c>
      <c r="AZ10" s="14">
        <f t="shared" si="8"/>
        <v>100</v>
      </c>
      <c r="BA10" s="24" t="s">
        <v>242</v>
      </c>
      <c r="BB10" s="24" t="s">
        <v>244</v>
      </c>
      <c r="BC10" s="24" t="s">
        <v>246</v>
      </c>
      <c r="BE10" s="14">
        <v>8</v>
      </c>
      <c r="BF10" s="14" t="s">
        <v>185</v>
      </c>
      <c r="BG10" s="14" t="s">
        <v>25</v>
      </c>
      <c r="BH10" s="13">
        <v>50</v>
      </c>
      <c r="BI10" s="13">
        <v>1</v>
      </c>
      <c r="BL10" s="14">
        <f t="shared" si="9"/>
        <v>50</v>
      </c>
      <c r="BM10" s="14" t="str">
        <f t="shared" si="10"/>
        <v/>
      </c>
      <c r="BN10" s="14" t="str">
        <f t="shared" si="11"/>
        <v/>
      </c>
      <c r="BO10" s="23" t="s">
        <v>242</v>
      </c>
      <c r="BP10" s="23" t="s">
        <v>244</v>
      </c>
      <c r="BQ10" s="23" t="s">
        <v>246</v>
      </c>
      <c r="BS10" s="14">
        <v>8</v>
      </c>
      <c r="BT10" s="14" t="s">
        <v>216</v>
      </c>
      <c r="BU10" s="14" t="s">
        <v>27</v>
      </c>
      <c r="BV10" s="13">
        <v>100</v>
      </c>
      <c r="BW10" s="13">
        <v>3</v>
      </c>
      <c r="BZ10" s="14" t="str">
        <f t="shared" si="12"/>
        <v/>
      </c>
      <c r="CA10" s="14" t="str">
        <f t="shared" si="13"/>
        <v/>
      </c>
      <c r="CB10" s="14">
        <f t="shared" si="14"/>
        <v>100</v>
      </c>
      <c r="CC10" s="22" t="s">
        <v>242</v>
      </c>
      <c r="CD10" s="22" t="s">
        <v>244</v>
      </c>
      <c r="CE10" s="22" t="s">
        <v>246</v>
      </c>
      <c r="CG10" s="14">
        <v>8</v>
      </c>
      <c r="CH10" s="14" t="s">
        <v>31</v>
      </c>
      <c r="CI10" s="14" t="s">
        <v>26</v>
      </c>
      <c r="CJ10" s="13">
        <v>70</v>
      </c>
      <c r="CK10" s="13">
        <v>1</v>
      </c>
      <c r="CN10" s="14" t="str">
        <f t="shared" si="15"/>
        <v/>
      </c>
      <c r="CO10" s="14">
        <f t="shared" si="16"/>
        <v>70</v>
      </c>
      <c r="CP10" s="14" t="str">
        <f t="shared" si="17"/>
        <v/>
      </c>
      <c r="CQ10" s="28" t="s">
        <v>242</v>
      </c>
      <c r="CR10" s="28" t="s">
        <v>244</v>
      </c>
      <c r="CS10" s="28" t="s">
        <v>246</v>
      </c>
    </row>
    <row r="11" spans="1:99" x14ac:dyDescent="0.25">
      <c r="A11" s="14">
        <v>9</v>
      </c>
      <c r="B11" s="14" t="s">
        <v>34</v>
      </c>
      <c r="C11" s="14" t="s">
        <v>26</v>
      </c>
      <c r="D11" s="13">
        <v>70</v>
      </c>
      <c r="E11" s="13">
        <v>1</v>
      </c>
      <c r="H11" s="14" t="str">
        <f t="shared" si="0"/>
        <v/>
      </c>
      <c r="I11" s="14">
        <f t="shared" si="1"/>
        <v>70</v>
      </c>
      <c r="J11" s="14" t="str">
        <f t="shared" si="2"/>
        <v/>
      </c>
      <c r="K11" s="19">
        <f>MAX(H41:H77)</f>
        <v>2</v>
      </c>
      <c r="L11" s="19">
        <f>MAX(I41:I77)</f>
        <v>4</v>
      </c>
      <c r="M11" s="19">
        <f>MAX(J41:J77)</f>
        <v>2</v>
      </c>
      <c r="O11" s="14">
        <v>9</v>
      </c>
      <c r="P11" s="14" t="s">
        <v>87</v>
      </c>
      <c r="Q11" s="14" t="s">
        <v>25</v>
      </c>
      <c r="R11" s="13">
        <v>60</v>
      </c>
      <c r="S11" s="13">
        <v>2</v>
      </c>
      <c r="V11" s="14">
        <f t="shared" si="3"/>
        <v>60</v>
      </c>
      <c r="W11" s="14" t="str">
        <f t="shared" si="4"/>
        <v/>
      </c>
      <c r="X11" s="14" t="str">
        <f t="shared" si="5"/>
        <v/>
      </c>
      <c r="Y11" s="19">
        <f>MAX(V41:V77)</f>
        <v>3</v>
      </c>
      <c r="Z11" s="19">
        <f>MAX(W41:W77)</f>
        <v>3</v>
      </c>
      <c r="AA11" s="19">
        <f>MAX(X41:X77)</f>
        <v>3</v>
      </c>
      <c r="AC11" s="14">
        <v>9</v>
      </c>
      <c r="AD11" s="14" t="s">
        <v>121</v>
      </c>
      <c r="AE11" s="14" t="s">
        <v>27</v>
      </c>
      <c r="AF11" s="13">
        <v>110</v>
      </c>
      <c r="AG11" s="13">
        <v>3</v>
      </c>
      <c r="AJ11" s="14" t="str">
        <f t="shared" si="18"/>
        <v/>
      </c>
      <c r="AK11" s="14" t="str">
        <f t="shared" si="19"/>
        <v/>
      </c>
      <c r="AL11" s="14">
        <f t="shared" si="20"/>
        <v>110</v>
      </c>
      <c r="AM11" s="19">
        <f>MAX(AJ41:AJ77)</f>
        <v>2</v>
      </c>
      <c r="AN11" s="19">
        <f>MAX(AK41:AK77)</f>
        <v>3</v>
      </c>
      <c r="AO11" s="19">
        <f>MAX(AL41:AL77)</f>
        <v>3</v>
      </c>
      <c r="AQ11" s="14">
        <v>9</v>
      </c>
      <c r="AR11" s="14" t="s">
        <v>155</v>
      </c>
      <c r="AS11" s="14" t="s">
        <v>25</v>
      </c>
      <c r="AT11" s="13">
        <v>50</v>
      </c>
      <c r="AU11" s="13">
        <v>0</v>
      </c>
      <c r="AX11" s="14">
        <f t="shared" si="6"/>
        <v>50</v>
      </c>
      <c r="AY11" s="14" t="str">
        <f t="shared" si="7"/>
        <v/>
      </c>
      <c r="AZ11" s="14" t="str">
        <f t="shared" si="8"/>
        <v/>
      </c>
      <c r="BA11" s="19">
        <f>MAX(AX41:AX77)</f>
        <v>3</v>
      </c>
      <c r="BB11" s="19">
        <f>MAX(AY41:AY77)</f>
        <v>3</v>
      </c>
      <c r="BC11" s="19">
        <f>MAX(AZ41:AZ77)</f>
        <v>3</v>
      </c>
      <c r="BE11" s="14">
        <v>9</v>
      </c>
      <c r="BF11" s="14" t="s">
        <v>186</v>
      </c>
      <c r="BG11" s="14" t="s">
        <v>26</v>
      </c>
      <c r="BH11" s="13">
        <v>80</v>
      </c>
      <c r="BI11" s="13">
        <v>2</v>
      </c>
      <c r="BL11" s="14" t="str">
        <f t="shared" si="9"/>
        <v/>
      </c>
      <c r="BM11" s="14">
        <f t="shared" si="10"/>
        <v>80</v>
      </c>
      <c r="BN11" s="14" t="str">
        <f t="shared" si="11"/>
        <v/>
      </c>
      <c r="BO11" s="19">
        <f>MAX(BL41:BL77)</f>
        <v>2</v>
      </c>
      <c r="BP11" s="19">
        <f>MAX(BM41:BM77)</f>
        <v>3</v>
      </c>
      <c r="BQ11" s="19">
        <f>MAX(BN41:BN77)</f>
        <v>4</v>
      </c>
      <c r="BS11" s="14">
        <v>9</v>
      </c>
      <c r="BT11" s="14" t="s">
        <v>217</v>
      </c>
      <c r="BU11" s="14" t="s">
        <v>25</v>
      </c>
      <c r="BV11" s="13">
        <v>50</v>
      </c>
      <c r="BW11" s="13">
        <v>1</v>
      </c>
      <c r="BZ11" s="14">
        <f t="shared" si="12"/>
        <v>50</v>
      </c>
      <c r="CA11" s="14" t="str">
        <f t="shared" si="13"/>
        <v/>
      </c>
      <c r="CB11" s="14" t="str">
        <f t="shared" si="14"/>
        <v/>
      </c>
      <c r="CC11" s="19">
        <f>MAX(BZ41:BZ77)</f>
        <v>2</v>
      </c>
      <c r="CD11" s="19">
        <f>MAX(CA41:CA77)</f>
        <v>2</v>
      </c>
      <c r="CE11" s="19">
        <f>MAX(CB41:CB77)</f>
        <v>3</v>
      </c>
      <c r="CG11" s="14">
        <v>9</v>
      </c>
      <c r="CH11" s="14" t="s">
        <v>256</v>
      </c>
      <c r="CI11" s="14" t="s">
        <v>27</v>
      </c>
      <c r="CJ11" s="13">
        <v>90</v>
      </c>
      <c r="CK11" s="13">
        <v>0</v>
      </c>
      <c r="CN11" s="14" t="str">
        <f t="shared" si="15"/>
        <v/>
      </c>
      <c r="CO11" s="14" t="str">
        <f t="shared" si="16"/>
        <v/>
      </c>
      <c r="CP11" s="14">
        <f t="shared" si="17"/>
        <v>90</v>
      </c>
      <c r="CQ11" s="19">
        <f>MAX(CN41:CN77)</f>
        <v>2</v>
      </c>
      <c r="CR11" s="19">
        <f>MAX(CO41:CO77)</f>
        <v>3</v>
      </c>
      <c r="CS11" s="19">
        <f>MAX(CP41:CP77)</f>
        <v>3</v>
      </c>
    </row>
    <row r="12" spans="1:99" x14ac:dyDescent="0.25">
      <c r="A12" s="14">
        <v>10</v>
      </c>
      <c r="B12" s="14" t="s">
        <v>33</v>
      </c>
      <c r="C12" s="14" t="s">
        <v>27</v>
      </c>
      <c r="D12" s="13">
        <v>90</v>
      </c>
      <c r="E12" s="13">
        <v>1</v>
      </c>
      <c r="H12" s="14" t="str">
        <f t="shared" si="0"/>
        <v/>
      </c>
      <c r="I12" s="14" t="str">
        <f t="shared" si="1"/>
        <v/>
      </c>
      <c r="J12" s="14">
        <f t="shared" si="2"/>
        <v>90</v>
      </c>
      <c r="K12" s="29" t="s">
        <v>243</v>
      </c>
      <c r="L12" s="29" t="s">
        <v>245</v>
      </c>
      <c r="M12" s="29" t="s">
        <v>247</v>
      </c>
      <c r="O12" s="14">
        <v>10</v>
      </c>
      <c r="P12" s="14" t="s">
        <v>88</v>
      </c>
      <c r="Q12" s="14" t="s">
        <v>26</v>
      </c>
      <c r="R12" s="13">
        <v>90</v>
      </c>
      <c r="S12" s="13">
        <v>2</v>
      </c>
      <c r="V12" s="14" t="str">
        <f t="shared" si="3"/>
        <v/>
      </c>
      <c r="W12" s="14">
        <f t="shared" si="4"/>
        <v>90</v>
      </c>
      <c r="X12" s="14" t="str">
        <f t="shared" si="5"/>
        <v/>
      </c>
      <c r="Y12" s="26" t="s">
        <v>243</v>
      </c>
      <c r="Z12" s="26" t="s">
        <v>245</v>
      </c>
      <c r="AA12" s="26" t="s">
        <v>247</v>
      </c>
      <c r="AC12" s="14">
        <v>10</v>
      </c>
      <c r="AD12" s="14" t="s">
        <v>123</v>
      </c>
      <c r="AE12" s="14" t="s">
        <v>25</v>
      </c>
      <c r="AF12" s="13">
        <v>60</v>
      </c>
      <c r="AG12" s="13">
        <v>1</v>
      </c>
      <c r="AJ12" s="14">
        <f t="shared" si="18"/>
        <v>60</v>
      </c>
      <c r="AK12" s="14" t="str">
        <f t="shared" si="19"/>
        <v/>
      </c>
      <c r="AL12" s="14" t="str">
        <f t="shared" si="20"/>
        <v/>
      </c>
      <c r="AM12" s="25" t="s">
        <v>243</v>
      </c>
      <c r="AN12" s="25" t="s">
        <v>245</v>
      </c>
      <c r="AO12" s="25" t="s">
        <v>247</v>
      </c>
      <c r="AQ12" s="14">
        <v>10</v>
      </c>
      <c r="AR12" s="14" t="s">
        <v>156</v>
      </c>
      <c r="AS12" s="14" t="s">
        <v>25</v>
      </c>
      <c r="AT12" s="13">
        <v>30</v>
      </c>
      <c r="AU12" s="13">
        <v>0</v>
      </c>
      <c r="AX12" s="14">
        <f t="shared" si="6"/>
        <v>30</v>
      </c>
      <c r="AY12" s="14" t="str">
        <f t="shared" si="7"/>
        <v/>
      </c>
      <c r="AZ12" s="14" t="str">
        <f t="shared" si="8"/>
        <v/>
      </c>
      <c r="BA12" s="24" t="s">
        <v>243</v>
      </c>
      <c r="BB12" s="24" t="s">
        <v>245</v>
      </c>
      <c r="BC12" s="24" t="s">
        <v>247</v>
      </c>
      <c r="BE12" s="14">
        <v>10</v>
      </c>
      <c r="BF12" s="14" t="s">
        <v>187</v>
      </c>
      <c r="BG12" s="14" t="s">
        <v>25</v>
      </c>
      <c r="BH12" s="13">
        <v>30</v>
      </c>
      <c r="BI12" s="13">
        <v>0</v>
      </c>
      <c r="BL12" s="14">
        <f t="shared" si="9"/>
        <v>30</v>
      </c>
      <c r="BM12" s="14" t="str">
        <f t="shared" si="10"/>
        <v/>
      </c>
      <c r="BN12" s="14" t="str">
        <f t="shared" si="11"/>
        <v/>
      </c>
      <c r="BO12" s="23" t="s">
        <v>243</v>
      </c>
      <c r="BP12" s="23" t="s">
        <v>245</v>
      </c>
      <c r="BQ12" s="23" t="s">
        <v>247</v>
      </c>
      <c r="BS12" s="14">
        <v>10</v>
      </c>
      <c r="BT12" s="14" t="s">
        <v>218</v>
      </c>
      <c r="BU12" s="14" t="s">
        <v>26</v>
      </c>
      <c r="BV12" s="13">
        <v>70</v>
      </c>
      <c r="BW12" s="13">
        <v>1</v>
      </c>
      <c r="BZ12" s="14" t="str">
        <f t="shared" si="12"/>
        <v/>
      </c>
      <c r="CA12" s="14">
        <f t="shared" si="13"/>
        <v>70</v>
      </c>
      <c r="CB12" s="14" t="str">
        <f t="shared" si="14"/>
        <v/>
      </c>
      <c r="CC12" s="22" t="s">
        <v>243</v>
      </c>
      <c r="CD12" s="22" t="s">
        <v>245</v>
      </c>
      <c r="CE12" s="22" t="s">
        <v>247</v>
      </c>
      <c r="CG12" s="14">
        <v>10</v>
      </c>
      <c r="CH12" s="14" t="s">
        <v>257</v>
      </c>
      <c r="CI12" s="14" t="s">
        <v>25</v>
      </c>
      <c r="CJ12" s="13">
        <v>60</v>
      </c>
      <c r="CK12" s="13">
        <v>2</v>
      </c>
      <c r="CN12" s="14">
        <f t="shared" si="15"/>
        <v>60</v>
      </c>
      <c r="CO12" s="14" t="str">
        <f t="shared" si="16"/>
        <v/>
      </c>
      <c r="CP12" s="14" t="str">
        <f t="shared" si="17"/>
        <v/>
      </c>
      <c r="CQ12" s="28" t="s">
        <v>243</v>
      </c>
      <c r="CR12" s="28" t="s">
        <v>245</v>
      </c>
      <c r="CS12" s="28" t="s">
        <v>247</v>
      </c>
    </row>
    <row r="13" spans="1:99" x14ac:dyDescent="0.25">
      <c r="A13" s="14">
        <v>11</v>
      </c>
      <c r="B13" s="14" t="s">
        <v>281</v>
      </c>
      <c r="C13" s="14" t="s">
        <v>25</v>
      </c>
      <c r="D13" s="13">
        <v>60</v>
      </c>
      <c r="E13" s="13">
        <v>2</v>
      </c>
      <c r="H13" s="14">
        <f t="shared" si="0"/>
        <v>60</v>
      </c>
      <c r="I13" s="14" t="str">
        <f t="shared" si="1"/>
        <v/>
      </c>
      <c r="J13" s="14" t="str">
        <f t="shared" si="2"/>
        <v/>
      </c>
      <c r="K13" s="14">
        <f>MIN(H41:H77)</f>
        <v>0</v>
      </c>
      <c r="L13" s="14">
        <f>MIN(I41:I77)</f>
        <v>0</v>
      </c>
      <c r="M13" s="14">
        <f>MIN(J41:J77)</f>
        <v>0</v>
      </c>
      <c r="O13" s="14">
        <v>11</v>
      </c>
      <c r="P13" s="14" t="s">
        <v>89</v>
      </c>
      <c r="Q13" s="14" t="s">
        <v>25</v>
      </c>
      <c r="R13" s="13">
        <v>50</v>
      </c>
      <c r="S13" s="13">
        <v>1</v>
      </c>
      <c r="V13" s="14">
        <f t="shared" si="3"/>
        <v>50</v>
      </c>
      <c r="W13" s="14" t="str">
        <f t="shared" si="4"/>
        <v/>
      </c>
      <c r="X13" s="14" t="str">
        <f t="shared" si="5"/>
        <v/>
      </c>
      <c r="Y13" s="14">
        <f>MIN(V41:V77)</f>
        <v>0</v>
      </c>
      <c r="Z13" s="14">
        <f>MIN(W41:W77)</f>
        <v>1</v>
      </c>
      <c r="AA13" s="14">
        <f>MIN(X41:X77)</f>
        <v>2</v>
      </c>
      <c r="AC13" s="14">
        <v>11</v>
      </c>
      <c r="AD13" s="14" t="s">
        <v>122</v>
      </c>
      <c r="AE13" s="14" t="s">
        <v>26</v>
      </c>
      <c r="AF13" s="13">
        <v>80</v>
      </c>
      <c r="AG13" s="13">
        <v>2</v>
      </c>
      <c r="AJ13" s="14" t="str">
        <f t="shared" si="18"/>
        <v/>
      </c>
      <c r="AK13" s="14">
        <f t="shared" si="19"/>
        <v>80</v>
      </c>
      <c r="AL13" s="14" t="str">
        <f t="shared" si="20"/>
        <v/>
      </c>
      <c r="AM13" s="14">
        <f>MIN(AJ41:AJ77)</f>
        <v>0</v>
      </c>
      <c r="AN13" s="14">
        <f>MIN(AK41:AK77)</f>
        <v>1</v>
      </c>
      <c r="AO13" s="14">
        <f>MIN(AL41:AL77)</f>
        <v>1</v>
      </c>
      <c r="AQ13" s="14">
        <v>11</v>
      </c>
      <c r="AR13" s="14" t="s">
        <v>157</v>
      </c>
      <c r="AS13" s="14" t="s">
        <v>25</v>
      </c>
      <c r="AT13" s="13">
        <v>50</v>
      </c>
      <c r="AU13" s="13">
        <v>1</v>
      </c>
      <c r="AX13" s="14">
        <f t="shared" si="6"/>
        <v>50</v>
      </c>
      <c r="AY13" s="14" t="str">
        <f t="shared" si="7"/>
        <v/>
      </c>
      <c r="AZ13" s="14" t="str">
        <f t="shared" si="8"/>
        <v/>
      </c>
      <c r="BA13" s="14">
        <f>MIN(AX41:AX77)</f>
        <v>0</v>
      </c>
      <c r="BB13" s="14">
        <f>MIN(AY41:AY77)</f>
        <v>1</v>
      </c>
      <c r="BC13" s="14">
        <f>MIN(AZ41:AZ77)</f>
        <v>1</v>
      </c>
      <c r="BE13" s="14">
        <v>11</v>
      </c>
      <c r="BF13" s="14" t="s">
        <v>188</v>
      </c>
      <c r="BG13" s="14" t="s">
        <v>25</v>
      </c>
      <c r="BH13" s="13">
        <v>70</v>
      </c>
      <c r="BI13" s="13">
        <v>2</v>
      </c>
      <c r="BL13" s="14">
        <f t="shared" si="9"/>
        <v>70</v>
      </c>
      <c r="BM13" s="14" t="str">
        <f t="shared" si="10"/>
        <v/>
      </c>
      <c r="BN13" s="14" t="str">
        <f t="shared" si="11"/>
        <v/>
      </c>
      <c r="BO13" s="14">
        <f>MIN(BL41:BL77)</f>
        <v>0</v>
      </c>
      <c r="BP13" s="14">
        <f>MIN(BM41:BM77)</f>
        <v>1</v>
      </c>
      <c r="BQ13" s="14">
        <f>MIN(BN41:BN77)</f>
        <v>1</v>
      </c>
      <c r="BS13" s="14">
        <v>11</v>
      </c>
      <c r="BT13" s="14" t="s">
        <v>219</v>
      </c>
      <c r="BU13" s="14" t="s">
        <v>25</v>
      </c>
      <c r="BV13" s="13">
        <v>50</v>
      </c>
      <c r="BW13" s="13">
        <v>2</v>
      </c>
      <c r="BZ13" s="14">
        <f t="shared" si="12"/>
        <v>50</v>
      </c>
      <c r="CA13" s="14" t="str">
        <f t="shared" si="13"/>
        <v/>
      </c>
      <c r="CB13" s="14" t="str">
        <f t="shared" si="14"/>
        <v/>
      </c>
      <c r="CC13" s="14">
        <f>MIN(BZ41:BZ77)</f>
        <v>0</v>
      </c>
      <c r="CD13" s="14">
        <f>MIN(CA41:CA77)</f>
        <v>0</v>
      </c>
      <c r="CE13" s="14">
        <f>MIN(CB41:CB77)</f>
        <v>1</v>
      </c>
      <c r="CG13" s="14">
        <v>11</v>
      </c>
      <c r="CH13" s="14" t="s">
        <v>258</v>
      </c>
      <c r="CI13" s="14" t="s">
        <v>26</v>
      </c>
      <c r="CJ13" s="13">
        <v>80</v>
      </c>
      <c r="CK13" s="13">
        <v>3</v>
      </c>
      <c r="CN13" s="14" t="str">
        <f t="shared" si="15"/>
        <v/>
      </c>
      <c r="CO13" s="14">
        <f t="shared" si="16"/>
        <v>80</v>
      </c>
      <c r="CP13" s="14" t="str">
        <f t="shared" si="17"/>
        <v/>
      </c>
      <c r="CQ13" s="14">
        <f>MIN(CN41:CN77)</f>
        <v>0</v>
      </c>
      <c r="CR13" s="14">
        <f>MIN(CO41:CO77)</f>
        <v>0</v>
      </c>
      <c r="CS13" s="14">
        <f>MIN(CP41:CP77)</f>
        <v>0</v>
      </c>
    </row>
    <row r="14" spans="1:99" x14ac:dyDescent="0.25">
      <c r="A14" s="14">
        <v>12</v>
      </c>
      <c r="B14" s="14" t="s">
        <v>35</v>
      </c>
      <c r="C14" s="14" t="s">
        <v>26</v>
      </c>
      <c r="D14" s="13">
        <v>80</v>
      </c>
      <c r="E14" s="13">
        <v>0</v>
      </c>
      <c r="H14" s="14" t="str">
        <f t="shared" si="0"/>
        <v/>
      </c>
      <c r="I14" s="14">
        <f t="shared" si="1"/>
        <v>80</v>
      </c>
      <c r="J14" s="14" t="str">
        <f t="shared" si="2"/>
        <v/>
      </c>
      <c r="O14" s="14">
        <v>12</v>
      </c>
      <c r="P14" s="14" t="s">
        <v>90</v>
      </c>
      <c r="Q14" s="14" t="s">
        <v>26</v>
      </c>
      <c r="R14" s="13">
        <v>70</v>
      </c>
      <c r="S14" s="13">
        <v>2</v>
      </c>
      <c r="V14" s="14" t="str">
        <f t="shared" si="3"/>
        <v/>
      </c>
      <c r="W14" s="14">
        <f t="shared" si="4"/>
        <v>70</v>
      </c>
      <c r="X14" s="14" t="str">
        <f t="shared" si="5"/>
        <v/>
      </c>
      <c r="AC14" s="14">
        <v>12</v>
      </c>
      <c r="AD14" s="14" t="s">
        <v>124</v>
      </c>
      <c r="AE14" s="14" t="s">
        <v>25</v>
      </c>
      <c r="AF14" s="13">
        <v>50</v>
      </c>
      <c r="AG14" s="13">
        <v>1</v>
      </c>
      <c r="AJ14" s="14">
        <f t="shared" si="18"/>
        <v>50</v>
      </c>
      <c r="AK14" s="14" t="str">
        <f t="shared" si="19"/>
        <v/>
      </c>
      <c r="AL14" s="14" t="str">
        <f t="shared" si="20"/>
        <v/>
      </c>
      <c r="AQ14" s="14">
        <v>12</v>
      </c>
      <c r="AR14" s="14" t="s">
        <v>158</v>
      </c>
      <c r="AS14" s="14" t="s">
        <v>26</v>
      </c>
      <c r="AT14" s="13">
        <v>70</v>
      </c>
      <c r="AU14" s="13">
        <v>2</v>
      </c>
      <c r="AX14" s="14" t="str">
        <f t="shared" si="6"/>
        <v/>
      </c>
      <c r="AY14" s="14">
        <f t="shared" si="7"/>
        <v>70</v>
      </c>
      <c r="AZ14" s="14" t="str">
        <f t="shared" si="8"/>
        <v/>
      </c>
      <c r="BE14" s="14">
        <v>12</v>
      </c>
      <c r="BF14" s="14" t="s">
        <v>189</v>
      </c>
      <c r="BG14" s="14" t="s">
        <v>25</v>
      </c>
      <c r="BH14" s="13">
        <v>70</v>
      </c>
      <c r="BI14" s="13">
        <v>1</v>
      </c>
      <c r="BL14" s="14">
        <f t="shared" si="9"/>
        <v>70</v>
      </c>
      <c r="BM14" s="14" t="str">
        <f t="shared" si="10"/>
        <v/>
      </c>
      <c r="BN14" s="14" t="str">
        <f t="shared" si="11"/>
        <v/>
      </c>
      <c r="BS14" s="14">
        <v>12</v>
      </c>
      <c r="BT14" s="14" t="s">
        <v>220</v>
      </c>
      <c r="BU14" s="14" t="s">
        <v>26</v>
      </c>
      <c r="BV14" s="13">
        <v>80</v>
      </c>
      <c r="BW14" s="13">
        <v>1</v>
      </c>
      <c r="BZ14" s="14" t="str">
        <f t="shared" si="12"/>
        <v/>
      </c>
      <c r="CA14" s="14">
        <f t="shared" si="13"/>
        <v>80</v>
      </c>
      <c r="CB14" s="14" t="str">
        <f t="shared" si="14"/>
        <v/>
      </c>
      <c r="CG14" s="14">
        <v>12</v>
      </c>
      <c r="CH14" s="14" t="s">
        <v>259</v>
      </c>
      <c r="CI14" s="14" t="s">
        <v>25</v>
      </c>
      <c r="CJ14" s="13">
        <v>40</v>
      </c>
      <c r="CK14" s="13">
        <v>0</v>
      </c>
      <c r="CN14" s="14">
        <f t="shared" si="15"/>
        <v>40</v>
      </c>
      <c r="CO14" s="14" t="str">
        <f t="shared" si="16"/>
        <v/>
      </c>
      <c r="CP14" s="14" t="str">
        <f t="shared" si="17"/>
        <v/>
      </c>
    </row>
    <row r="15" spans="1:99" x14ac:dyDescent="0.25">
      <c r="A15" s="14">
        <v>13</v>
      </c>
      <c r="B15" s="14" t="s">
        <v>39</v>
      </c>
      <c r="C15" s="14" t="s">
        <v>25</v>
      </c>
      <c r="D15" s="13">
        <v>60</v>
      </c>
      <c r="E15" s="13">
        <v>1</v>
      </c>
      <c r="H15" s="14">
        <f t="shared" si="0"/>
        <v>60</v>
      </c>
      <c r="I15" s="14" t="str">
        <f t="shared" si="1"/>
        <v/>
      </c>
      <c r="J15" s="14" t="str">
        <f t="shared" si="2"/>
        <v/>
      </c>
      <c r="O15" s="14">
        <v>13</v>
      </c>
      <c r="P15" s="14" t="s">
        <v>91</v>
      </c>
      <c r="Q15" s="14" t="s">
        <v>25</v>
      </c>
      <c r="R15" s="13">
        <v>50</v>
      </c>
      <c r="S15" s="13">
        <v>1</v>
      </c>
      <c r="V15" s="14">
        <f t="shared" si="3"/>
        <v>50</v>
      </c>
      <c r="W15" s="14" t="str">
        <f t="shared" si="4"/>
        <v/>
      </c>
      <c r="X15" s="14" t="str">
        <f t="shared" si="5"/>
        <v/>
      </c>
      <c r="AC15" s="14">
        <v>13</v>
      </c>
      <c r="AD15" s="14" t="s">
        <v>125</v>
      </c>
      <c r="AE15" s="14" t="s">
        <v>26</v>
      </c>
      <c r="AF15" s="13">
        <v>80</v>
      </c>
      <c r="AG15" s="13">
        <v>2</v>
      </c>
      <c r="AJ15" s="14" t="str">
        <f t="shared" si="18"/>
        <v/>
      </c>
      <c r="AK15" s="14">
        <f t="shared" si="19"/>
        <v>80</v>
      </c>
      <c r="AL15" s="14" t="str">
        <f t="shared" si="20"/>
        <v/>
      </c>
      <c r="AQ15" s="14">
        <v>13</v>
      </c>
      <c r="AR15" s="14" t="s">
        <v>159</v>
      </c>
      <c r="AS15" s="14" t="s">
        <v>25</v>
      </c>
      <c r="AT15" s="13">
        <v>40</v>
      </c>
      <c r="AU15" s="13">
        <v>1</v>
      </c>
      <c r="AX15" s="14">
        <f t="shared" si="6"/>
        <v>40</v>
      </c>
      <c r="AY15" s="14" t="str">
        <f t="shared" si="7"/>
        <v/>
      </c>
      <c r="AZ15" s="14" t="str">
        <f t="shared" si="8"/>
        <v/>
      </c>
      <c r="BE15" s="14">
        <v>13</v>
      </c>
      <c r="BF15" s="14" t="s">
        <v>190</v>
      </c>
      <c r="BG15" s="14" t="s">
        <v>25</v>
      </c>
      <c r="BH15" s="13">
        <v>70</v>
      </c>
      <c r="BI15" s="13">
        <v>1</v>
      </c>
      <c r="BL15" s="14">
        <f t="shared" si="9"/>
        <v>70</v>
      </c>
      <c r="BM15" s="14" t="str">
        <f t="shared" si="10"/>
        <v/>
      </c>
      <c r="BN15" s="14" t="str">
        <f t="shared" si="11"/>
        <v/>
      </c>
      <c r="BS15" s="14">
        <v>13</v>
      </c>
      <c r="BT15" s="14" t="s">
        <v>221</v>
      </c>
      <c r="BU15" s="14" t="s">
        <v>25</v>
      </c>
      <c r="BV15" s="13">
        <v>40</v>
      </c>
      <c r="BW15" s="13">
        <v>1</v>
      </c>
      <c r="BZ15" s="14">
        <f t="shared" si="12"/>
        <v>40</v>
      </c>
      <c r="CA15" s="14" t="str">
        <f t="shared" si="13"/>
        <v/>
      </c>
      <c r="CB15" s="14" t="str">
        <f t="shared" si="14"/>
        <v/>
      </c>
      <c r="CG15" s="14">
        <v>13</v>
      </c>
      <c r="CH15" s="14" t="s">
        <v>260</v>
      </c>
      <c r="CI15" s="14" t="s">
        <v>26</v>
      </c>
      <c r="CJ15" s="13">
        <v>60</v>
      </c>
      <c r="CK15" s="13">
        <v>0</v>
      </c>
      <c r="CN15" s="14" t="str">
        <f t="shared" si="15"/>
        <v/>
      </c>
      <c r="CO15" s="14">
        <f t="shared" si="16"/>
        <v>60</v>
      </c>
      <c r="CP15" s="14" t="str">
        <f t="shared" si="17"/>
        <v/>
      </c>
    </row>
    <row r="16" spans="1:99" x14ac:dyDescent="0.25">
      <c r="A16" s="14">
        <v>14</v>
      </c>
      <c r="B16" s="14" t="s">
        <v>38</v>
      </c>
      <c r="C16" s="14" t="s">
        <v>25</v>
      </c>
      <c r="D16" s="13">
        <v>60</v>
      </c>
      <c r="E16" s="13">
        <v>1</v>
      </c>
      <c r="H16" s="14">
        <f t="shared" si="0"/>
        <v>60</v>
      </c>
      <c r="I16" s="14" t="str">
        <f t="shared" si="1"/>
        <v/>
      </c>
      <c r="J16" s="14" t="str">
        <f t="shared" si="2"/>
        <v/>
      </c>
      <c r="O16" s="14">
        <v>14</v>
      </c>
      <c r="P16" s="14" t="s">
        <v>92</v>
      </c>
      <c r="Q16" s="14" t="s">
        <v>26</v>
      </c>
      <c r="R16" s="13">
        <v>80</v>
      </c>
      <c r="S16" s="13">
        <v>2</v>
      </c>
      <c r="V16" s="14" t="str">
        <f t="shared" si="3"/>
        <v/>
      </c>
      <c r="W16" s="14">
        <f t="shared" si="4"/>
        <v>80</v>
      </c>
      <c r="X16" s="14" t="str">
        <f t="shared" si="5"/>
        <v/>
      </c>
      <c r="AC16" s="14">
        <v>14</v>
      </c>
      <c r="AD16" s="14" t="s">
        <v>126</v>
      </c>
      <c r="AE16" s="14" t="s">
        <v>25</v>
      </c>
      <c r="AF16" s="13">
        <v>50</v>
      </c>
      <c r="AG16" s="13">
        <v>1</v>
      </c>
      <c r="AJ16" s="14">
        <f t="shared" si="18"/>
        <v>50</v>
      </c>
      <c r="AK16" s="14" t="str">
        <f t="shared" si="19"/>
        <v/>
      </c>
      <c r="AL16" s="14" t="str">
        <f t="shared" si="20"/>
        <v/>
      </c>
      <c r="AQ16" s="14">
        <v>14</v>
      </c>
      <c r="AR16" s="14" t="s">
        <v>160</v>
      </c>
      <c r="AS16" s="14" t="s">
        <v>26</v>
      </c>
      <c r="AT16" s="13">
        <v>70</v>
      </c>
      <c r="AU16" s="13">
        <v>1</v>
      </c>
      <c r="AX16" s="14" t="str">
        <f t="shared" si="6"/>
        <v/>
      </c>
      <c r="AY16" s="14">
        <f t="shared" si="7"/>
        <v>70</v>
      </c>
      <c r="AZ16" s="14" t="str">
        <f t="shared" si="8"/>
        <v/>
      </c>
      <c r="BE16" s="14">
        <v>14</v>
      </c>
      <c r="BF16" s="14" t="s">
        <v>191</v>
      </c>
      <c r="BG16" s="14" t="s">
        <v>25</v>
      </c>
      <c r="BH16" s="13">
        <v>50</v>
      </c>
      <c r="BI16" s="13">
        <v>1</v>
      </c>
      <c r="BL16" s="14">
        <f t="shared" si="9"/>
        <v>50</v>
      </c>
      <c r="BM16" s="14" t="str">
        <f t="shared" si="10"/>
        <v/>
      </c>
      <c r="BN16" s="14" t="str">
        <f t="shared" si="11"/>
        <v/>
      </c>
      <c r="BS16" s="14">
        <v>14</v>
      </c>
      <c r="BT16" s="14" t="s">
        <v>222</v>
      </c>
      <c r="BU16" s="14" t="s">
        <v>26</v>
      </c>
      <c r="BV16" s="13">
        <v>70</v>
      </c>
      <c r="BW16" s="13">
        <v>2</v>
      </c>
      <c r="BZ16" s="14" t="str">
        <f t="shared" si="12"/>
        <v/>
      </c>
      <c r="CA16" s="14">
        <f t="shared" si="13"/>
        <v>70</v>
      </c>
      <c r="CB16" s="14" t="str">
        <f t="shared" si="14"/>
        <v/>
      </c>
      <c r="CG16" s="14">
        <v>14</v>
      </c>
      <c r="CH16" s="14" t="s">
        <v>261</v>
      </c>
      <c r="CI16" s="14" t="s">
        <v>27</v>
      </c>
      <c r="CJ16" s="13">
        <v>90</v>
      </c>
      <c r="CK16" s="13">
        <v>0</v>
      </c>
      <c r="CN16" s="14" t="str">
        <f t="shared" si="15"/>
        <v/>
      </c>
      <c r="CO16" s="14" t="str">
        <f t="shared" si="16"/>
        <v/>
      </c>
      <c r="CP16" s="14">
        <f t="shared" si="17"/>
        <v>90</v>
      </c>
    </row>
    <row r="17" spans="1:94" x14ac:dyDescent="0.25">
      <c r="A17" s="14">
        <v>15</v>
      </c>
      <c r="B17" s="14" t="s">
        <v>36</v>
      </c>
      <c r="C17" s="14" t="s">
        <v>25</v>
      </c>
      <c r="D17" s="13">
        <v>50</v>
      </c>
      <c r="E17" s="13">
        <v>1</v>
      </c>
      <c r="H17" s="14">
        <f t="shared" si="0"/>
        <v>50</v>
      </c>
      <c r="I17" s="14" t="str">
        <f t="shared" si="1"/>
        <v/>
      </c>
      <c r="J17" s="14" t="str">
        <f t="shared" si="2"/>
        <v/>
      </c>
      <c r="O17" s="14">
        <v>15</v>
      </c>
      <c r="P17" s="14" t="s">
        <v>93</v>
      </c>
      <c r="Q17" s="14" t="s">
        <v>26</v>
      </c>
      <c r="R17" s="13">
        <v>70</v>
      </c>
      <c r="S17" s="13">
        <v>1</v>
      </c>
      <c r="V17" s="14" t="str">
        <f t="shared" si="3"/>
        <v/>
      </c>
      <c r="W17" s="14">
        <f t="shared" si="4"/>
        <v>70</v>
      </c>
      <c r="X17" s="14" t="str">
        <f t="shared" si="5"/>
        <v/>
      </c>
      <c r="AC17" s="14">
        <v>15</v>
      </c>
      <c r="AD17" s="14" t="s">
        <v>127</v>
      </c>
      <c r="AE17" s="14" t="s">
        <v>26</v>
      </c>
      <c r="AF17" s="13">
        <v>80</v>
      </c>
      <c r="AG17" s="13">
        <v>2</v>
      </c>
      <c r="AJ17" s="14" t="str">
        <f t="shared" si="18"/>
        <v/>
      </c>
      <c r="AK17" s="14">
        <f t="shared" si="19"/>
        <v>80</v>
      </c>
      <c r="AL17" s="14" t="str">
        <f t="shared" si="20"/>
        <v/>
      </c>
      <c r="AQ17" s="14">
        <v>15</v>
      </c>
      <c r="AR17" s="14" t="s">
        <v>161</v>
      </c>
      <c r="AS17" s="14" t="s">
        <v>27</v>
      </c>
      <c r="AT17" s="13">
        <v>110</v>
      </c>
      <c r="AU17" s="13">
        <v>2</v>
      </c>
      <c r="AX17" s="14" t="str">
        <f t="shared" si="6"/>
        <v/>
      </c>
      <c r="AY17" s="14" t="str">
        <f t="shared" si="7"/>
        <v/>
      </c>
      <c r="AZ17" s="14">
        <f t="shared" si="8"/>
        <v>110</v>
      </c>
      <c r="BE17" s="14">
        <v>15</v>
      </c>
      <c r="BF17" s="14" t="s">
        <v>192</v>
      </c>
      <c r="BG17" s="14" t="s">
        <v>26</v>
      </c>
      <c r="BH17" s="13">
        <v>70</v>
      </c>
      <c r="BI17" s="13">
        <v>1</v>
      </c>
      <c r="BL17" s="14" t="str">
        <f t="shared" si="9"/>
        <v/>
      </c>
      <c r="BM17" s="14">
        <f t="shared" si="10"/>
        <v>70</v>
      </c>
      <c r="BN17" s="14" t="str">
        <f t="shared" si="11"/>
        <v/>
      </c>
      <c r="BS17" s="14">
        <v>15</v>
      </c>
      <c r="BT17" s="14" t="s">
        <v>223</v>
      </c>
      <c r="BU17" s="14" t="s">
        <v>27</v>
      </c>
      <c r="BV17" s="13">
        <v>90</v>
      </c>
      <c r="BW17" s="13">
        <v>2</v>
      </c>
      <c r="BZ17" s="14" t="str">
        <f t="shared" si="12"/>
        <v/>
      </c>
      <c r="CA17" s="14" t="str">
        <f t="shared" si="13"/>
        <v/>
      </c>
      <c r="CB17" s="14">
        <f t="shared" si="14"/>
        <v>90</v>
      </c>
      <c r="CG17" s="14">
        <v>15</v>
      </c>
      <c r="CH17" s="14" t="s">
        <v>262</v>
      </c>
      <c r="CI17" s="14" t="s">
        <v>25</v>
      </c>
      <c r="CJ17" s="13">
        <v>30</v>
      </c>
      <c r="CK17" s="13">
        <v>0</v>
      </c>
      <c r="CN17" s="14">
        <f t="shared" si="15"/>
        <v>30</v>
      </c>
      <c r="CO17" s="14" t="str">
        <f t="shared" si="16"/>
        <v/>
      </c>
      <c r="CP17" s="14" t="str">
        <f t="shared" si="17"/>
        <v/>
      </c>
    </row>
    <row r="18" spans="1:94" x14ac:dyDescent="0.25">
      <c r="A18" s="14">
        <v>16</v>
      </c>
      <c r="B18" s="14" t="s">
        <v>37</v>
      </c>
      <c r="C18" s="14" t="s">
        <v>26</v>
      </c>
      <c r="D18" s="13">
        <v>80</v>
      </c>
      <c r="E18" s="13">
        <v>2</v>
      </c>
      <c r="H18" s="14" t="str">
        <f t="shared" si="0"/>
        <v/>
      </c>
      <c r="I18" s="14">
        <f t="shared" si="1"/>
        <v>80</v>
      </c>
      <c r="J18" s="14" t="str">
        <f t="shared" si="2"/>
        <v/>
      </c>
      <c r="O18" s="14">
        <v>16</v>
      </c>
      <c r="P18" s="14" t="s">
        <v>94</v>
      </c>
      <c r="Q18" s="14" t="s">
        <v>25</v>
      </c>
      <c r="R18" s="13">
        <v>80</v>
      </c>
      <c r="S18" s="13">
        <v>3</v>
      </c>
      <c r="V18" s="14">
        <f t="shared" si="3"/>
        <v>80</v>
      </c>
      <c r="W18" s="14" t="str">
        <f t="shared" si="4"/>
        <v/>
      </c>
      <c r="X18" s="14" t="str">
        <f t="shared" si="5"/>
        <v/>
      </c>
      <c r="AC18" s="14">
        <v>16</v>
      </c>
      <c r="AD18" s="14" t="s">
        <v>128</v>
      </c>
      <c r="AE18" s="14" t="s">
        <v>25</v>
      </c>
      <c r="AF18" s="13">
        <v>40</v>
      </c>
      <c r="AG18" s="13">
        <v>1</v>
      </c>
      <c r="AJ18" s="14">
        <f t="shared" si="18"/>
        <v>40</v>
      </c>
      <c r="AK18" s="14" t="str">
        <f t="shared" si="19"/>
        <v/>
      </c>
      <c r="AL18" s="14" t="str">
        <f t="shared" si="20"/>
        <v/>
      </c>
      <c r="AQ18" s="14">
        <v>16</v>
      </c>
      <c r="AR18" s="14" t="s">
        <v>162</v>
      </c>
      <c r="AS18" s="14" t="s">
        <v>25</v>
      </c>
      <c r="AT18" s="13">
        <v>40</v>
      </c>
      <c r="AU18" s="13">
        <v>1</v>
      </c>
      <c r="AX18" s="14">
        <f t="shared" si="6"/>
        <v>40</v>
      </c>
      <c r="AY18" s="14" t="str">
        <f t="shared" si="7"/>
        <v/>
      </c>
      <c r="AZ18" s="14" t="str">
        <f t="shared" si="8"/>
        <v/>
      </c>
      <c r="BE18" s="14">
        <v>16</v>
      </c>
      <c r="BF18" s="14" t="s">
        <v>193</v>
      </c>
      <c r="BG18" s="14" t="s">
        <v>27</v>
      </c>
      <c r="BH18" s="13">
        <v>100</v>
      </c>
      <c r="BI18" s="13">
        <v>1</v>
      </c>
      <c r="BL18" s="14" t="str">
        <f t="shared" si="9"/>
        <v/>
      </c>
      <c r="BM18" s="14" t="str">
        <f t="shared" si="10"/>
        <v/>
      </c>
      <c r="BN18" s="14">
        <f t="shared" si="11"/>
        <v>100</v>
      </c>
      <c r="BS18" s="14">
        <v>16</v>
      </c>
      <c r="BT18" s="14" t="s">
        <v>224</v>
      </c>
      <c r="BU18" s="14" t="s">
        <v>25</v>
      </c>
      <c r="BV18" s="13">
        <v>70</v>
      </c>
      <c r="BW18" s="13">
        <v>2</v>
      </c>
      <c r="BZ18" s="14">
        <f t="shared" si="12"/>
        <v>70</v>
      </c>
      <c r="CA18" s="14" t="str">
        <f t="shared" si="13"/>
        <v/>
      </c>
      <c r="CB18" s="14" t="str">
        <f t="shared" si="14"/>
        <v/>
      </c>
      <c r="CG18" s="14">
        <v>16</v>
      </c>
      <c r="CH18" s="14" t="s">
        <v>263</v>
      </c>
      <c r="CI18" s="14" t="s">
        <v>26</v>
      </c>
      <c r="CJ18" s="13">
        <v>70</v>
      </c>
      <c r="CK18" s="13">
        <v>1</v>
      </c>
      <c r="CN18" s="14" t="str">
        <f t="shared" si="15"/>
        <v/>
      </c>
      <c r="CO18" s="14">
        <f t="shared" si="16"/>
        <v>70</v>
      </c>
      <c r="CP18" s="14" t="str">
        <f t="shared" si="17"/>
        <v/>
      </c>
    </row>
    <row r="19" spans="1:94" x14ac:dyDescent="0.25">
      <c r="A19" s="14">
        <v>17</v>
      </c>
      <c r="B19" s="14" t="s">
        <v>40</v>
      </c>
      <c r="C19" s="14" t="s">
        <v>25</v>
      </c>
      <c r="D19" s="13">
        <v>50</v>
      </c>
      <c r="E19" s="13">
        <v>1</v>
      </c>
      <c r="H19" s="14">
        <f t="shared" si="0"/>
        <v>50</v>
      </c>
      <c r="I19" s="14" t="str">
        <f t="shared" si="1"/>
        <v/>
      </c>
      <c r="J19" s="14" t="str">
        <f t="shared" si="2"/>
        <v/>
      </c>
      <c r="O19" s="14">
        <v>17</v>
      </c>
      <c r="P19" s="14" t="s">
        <v>95</v>
      </c>
      <c r="Q19" s="14" t="s">
        <v>25</v>
      </c>
      <c r="R19" s="13">
        <v>100</v>
      </c>
      <c r="S19" s="13">
        <v>2</v>
      </c>
      <c r="V19" s="14">
        <f t="shared" si="3"/>
        <v>100</v>
      </c>
      <c r="W19" s="14" t="str">
        <f t="shared" si="4"/>
        <v/>
      </c>
      <c r="X19" s="14" t="str">
        <f t="shared" si="5"/>
        <v/>
      </c>
      <c r="AC19" s="14">
        <v>17</v>
      </c>
      <c r="AD19" s="14" t="s">
        <v>129</v>
      </c>
      <c r="AE19" s="14" t="s">
        <v>26</v>
      </c>
      <c r="AF19" s="13">
        <v>70</v>
      </c>
      <c r="AG19" s="13">
        <v>1</v>
      </c>
      <c r="AJ19" s="14" t="str">
        <f t="shared" si="18"/>
        <v/>
      </c>
      <c r="AK19" s="14">
        <f t="shared" si="19"/>
        <v>70</v>
      </c>
      <c r="AL19" s="14" t="str">
        <f t="shared" si="20"/>
        <v/>
      </c>
      <c r="AQ19" s="14">
        <v>17</v>
      </c>
      <c r="AR19" s="14" t="s">
        <v>163</v>
      </c>
      <c r="AS19" s="14" t="s">
        <v>26</v>
      </c>
      <c r="AT19" s="13">
        <v>70</v>
      </c>
      <c r="AU19" s="13">
        <v>1</v>
      </c>
      <c r="AX19" s="14" t="str">
        <f t="shared" si="6"/>
        <v/>
      </c>
      <c r="AY19" s="14">
        <f t="shared" si="7"/>
        <v>70</v>
      </c>
      <c r="AZ19" s="14" t="str">
        <f t="shared" si="8"/>
        <v/>
      </c>
      <c r="BE19" s="14">
        <v>17</v>
      </c>
      <c r="BF19" s="14" t="s">
        <v>194</v>
      </c>
      <c r="BG19" s="14" t="s">
        <v>25</v>
      </c>
      <c r="BH19" s="13">
        <v>60</v>
      </c>
      <c r="BI19" s="13">
        <v>1</v>
      </c>
      <c r="BL19" s="14">
        <f t="shared" si="9"/>
        <v>60</v>
      </c>
      <c r="BM19" s="14" t="str">
        <f t="shared" si="10"/>
        <v/>
      </c>
      <c r="BN19" s="14" t="str">
        <f t="shared" si="11"/>
        <v/>
      </c>
      <c r="BS19" s="14">
        <v>17</v>
      </c>
      <c r="BT19" s="14" t="s">
        <v>225</v>
      </c>
      <c r="BU19" s="14" t="s">
        <v>25</v>
      </c>
      <c r="BV19" s="13">
        <v>50</v>
      </c>
      <c r="BW19" s="13">
        <v>1</v>
      </c>
      <c r="BZ19" s="14">
        <f t="shared" si="12"/>
        <v>50</v>
      </c>
      <c r="CA19" s="14" t="str">
        <f t="shared" si="13"/>
        <v/>
      </c>
      <c r="CB19" s="14" t="str">
        <f t="shared" si="14"/>
        <v/>
      </c>
      <c r="CG19" s="14">
        <v>17</v>
      </c>
      <c r="CH19" s="14" t="s">
        <v>264</v>
      </c>
      <c r="CI19" s="14" t="s">
        <v>26</v>
      </c>
      <c r="CJ19" s="13">
        <v>80</v>
      </c>
      <c r="CK19" s="13">
        <v>1</v>
      </c>
      <c r="CN19" s="14" t="str">
        <f t="shared" si="15"/>
        <v/>
      </c>
      <c r="CO19" s="14">
        <f t="shared" si="16"/>
        <v>80</v>
      </c>
      <c r="CP19" s="14" t="str">
        <f t="shared" si="17"/>
        <v/>
      </c>
    </row>
    <row r="20" spans="1:94" x14ac:dyDescent="0.25">
      <c r="A20" s="14">
        <v>18</v>
      </c>
      <c r="B20" s="14" t="s">
        <v>41</v>
      </c>
      <c r="C20" s="14" t="s">
        <v>26</v>
      </c>
      <c r="D20" s="13">
        <v>70</v>
      </c>
      <c r="E20" s="13">
        <v>1</v>
      </c>
      <c r="H20" s="14" t="str">
        <f t="shared" si="0"/>
        <v/>
      </c>
      <c r="I20" s="14">
        <f t="shared" si="1"/>
        <v>70</v>
      </c>
      <c r="J20" s="14" t="str">
        <f t="shared" si="2"/>
        <v/>
      </c>
      <c r="O20" s="14">
        <v>18</v>
      </c>
      <c r="P20" s="14" t="s">
        <v>96</v>
      </c>
      <c r="Q20" s="14" t="s">
        <v>25</v>
      </c>
      <c r="R20" s="13">
        <v>60</v>
      </c>
      <c r="S20" s="13">
        <v>1</v>
      </c>
      <c r="V20" s="14">
        <f t="shared" si="3"/>
        <v>60</v>
      </c>
      <c r="W20" s="14" t="str">
        <f t="shared" si="4"/>
        <v/>
      </c>
      <c r="X20" s="14" t="str">
        <f t="shared" si="5"/>
        <v/>
      </c>
      <c r="AC20" s="14">
        <v>18</v>
      </c>
      <c r="AD20" s="14" t="s">
        <v>130</v>
      </c>
      <c r="AE20" s="14" t="s">
        <v>27</v>
      </c>
      <c r="AF20" s="13">
        <v>100</v>
      </c>
      <c r="AG20" s="13">
        <v>1</v>
      </c>
      <c r="AJ20" s="14" t="str">
        <f t="shared" si="18"/>
        <v/>
      </c>
      <c r="AK20" s="14" t="str">
        <f t="shared" si="19"/>
        <v/>
      </c>
      <c r="AL20" s="14">
        <f t="shared" si="20"/>
        <v>100</v>
      </c>
      <c r="AQ20" s="14">
        <v>18</v>
      </c>
      <c r="AR20" s="14" t="s">
        <v>309</v>
      </c>
      <c r="AS20" s="14" t="s">
        <v>25</v>
      </c>
      <c r="AT20" s="13">
        <v>30</v>
      </c>
      <c r="AU20" s="13">
        <v>0</v>
      </c>
      <c r="AX20" s="14">
        <f t="shared" si="6"/>
        <v>30</v>
      </c>
      <c r="AY20" s="14" t="str">
        <f t="shared" si="7"/>
        <v/>
      </c>
      <c r="AZ20" s="14" t="str">
        <f t="shared" si="8"/>
        <v/>
      </c>
      <c r="BE20" s="14">
        <v>18</v>
      </c>
      <c r="BF20" s="14" t="s">
        <v>197</v>
      </c>
      <c r="BG20" s="14" t="s">
        <v>25</v>
      </c>
      <c r="BH20" s="13">
        <v>50</v>
      </c>
      <c r="BI20" s="13">
        <v>1</v>
      </c>
      <c r="BL20" s="14">
        <f t="shared" si="9"/>
        <v>50</v>
      </c>
      <c r="BM20" s="14" t="str">
        <f t="shared" si="10"/>
        <v/>
      </c>
      <c r="BN20" s="14" t="str">
        <f t="shared" si="11"/>
        <v/>
      </c>
      <c r="BS20" s="14">
        <v>18</v>
      </c>
      <c r="BT20" s="14" t="s">
        <v>226</v>
      </c>
      <c r="BU20" s="14" t="s">
        <v>25</v>
      </c>
      <c r="BV20" s="13">
        <v>50</v>
      </c>
      <c r="BW20" s="13">
        <v>1</v>
      </c>
      <c r="BZ20" s="14">
        <f t="shared" si="12"/>
        <v>50</v>
      </c>
      <c r="CA20" s="14" t="str">
        <f t="shared" si="13"/>
        <v/>
      </c>
      <c r="CB20" s="14" t="str">
        <f t="shared" si="14"/>
        <v/>
      </c>
      <c r="CG20" s="14">
        <v>18</v>
      </c>
      <c r="CH20" s="14" t="s">
        <v>265</v>
      </c>
      <c r="CI20" s="14" t="s">
        <v>25</v>
      </c>
      <c r="CJ20" s="13">
        <v>60</v>
      </c>
      <c r="CK20" s="13">
        <v>2</v>
      </c>
      <c r="CN20" s="14">
        <f t="shared" si="15"/>
        <v>60</v>
      </c>
      <c r="CO20" s="14" t="str">
        <f t="shared" si="16"/>
        <v/>
      </c>
      <c r="CP20" s="14" t="str">
        <f t="shared" si="17"/>
        <v/>
      </c>
    </row>
    <row r="21" spans="1:94" x14ac:dyDescent="0.25">
      <c r="A21" s="14">
        <v>19</v>
      </c>
      <c r="B21" s="14" t="s">
        <v>282</v>
      </c>
      <c r="C21" s="14" t="s">
        <v>26</v>
      </c>
      <c r="D21" s="13">
        <v>80</v>
      </c>
      <c r="E21" s="13">
        <v>2</v>
      </c>
      <c r="H21" s="14" t="str">
        <f t="shared" si="0"/>
        <v/>
      </c>
      <c r="I21" s="14">
        <f t="shared" si="1"/>
        <v>80</v>
      </c>
      <c r="J21" s="14" t="str">
        <f t="shared" si="2"/>
        <v/>
      </c>
      <c r="O21" s="14">
        <v>19</v>
      </c>
      <c r="P21" s="14" t="s">
        <v>97</v>
      </c>
      <c r="Q21" s="14" t="s">
        <v>26</v>
      </c>
      <c r="R21" s="13">
        <v>80</v>
      </c>
      <c r="S21" s="13">
        <v>2</v>
      </c>
      <c r="V21" s="14" t="str">
        <f t="shared" si="3"/>
        <v/>
      </c>
      <c r="W21" s="14">
        <f t="shared" si="4"/>
        <v>80</v>
      </c>
      <c r="X21" s="14" t="str">
        <f t="shared" si="5"/>
        <v/>
      </c>
      <c r="AC21" s="14">
        <v>19</v>
      </c>
      <c r="AD21" s="14" t="s">
        <v>131</v>
      </c>
      <c r="AE21" s="14" t="s">
        <v>25</v>
      </c>
      <c r="AF21" s="13">
        <v>50</v>
      </c>
      <c r="AG21" s="13">
        <v>1</v>
      </c>
      <c r="AJ21" s="14">
        <f t="shared" si="18"/>
        <v>50</v>
      </c>
      <c r="AK21" s="14" t="str">
        <f t="shared" si="19"/>
        <v/>
      </c>
      <c r="AL21" s="14" t="str">
        <f t="shared" si="20"/>
        <v/>
      </c>
      <c r="AQ21" s="14">
        <v>19</v>
      </c>
      <c r="AR21" s="14" t="s">
        <v>164</v>
      </c>
      <c r="AS21" s="14" t="s">
        <v>25</v>
      </c>
      <c r="AT21" s="13">
        <v>60</v>
      </c>
      <c r="AU21" s="13">
        <v>2</v>
      </c>
      <c r="AX21" s="14">
        <f t="shared" si="6"/>
        <v>60</v>
      </c>
      <c r="AY21" s="14" t="str">
        <f t="shared" si="7"/>
        <v/>
      </c>
      <c r="AZ21" s="14" t="str">
        <f t="shared" si="8"/>
        <v/>
      </c>
      <c r="BE21" s="14">
        <v>19</v>
      </c>
      <c r="BF21" s="14" t="s">
        <v>196</v>
      </c>
      <c r="BG21" s="14" t="s">
        <v>26</v>
      </c>
      <c r="BH21" s="13">
        <v>70</v>
      </c>
      <c r="BI21" s="13">
        <v>2</v>
      </c>
      <c r="BL21" s="14" t="str">
        <f t="shared" si="9"/>
        <v/>
      </c>
      <c r="BM21" s="14">
        <f t="shared" si="10"/>
        <v>70</v>
      </c>
      <c r="BN21" s="14" t="str">
        <f t="shared" si="11"/>
        <v/>
      </c>
      <c r="BS21" s="14">
        <v>19</v>
      </c>
      <c r="BT21" s="14" t="s">
        <v>227</v>
      </c>
      <c r="BU21" s="14" t="s">
        <v>25</v>
      </c>
      <c r="BV21" s="13">
        <v>60</v>
      </c>
      <c r="BW21" s="13">
        <v>1</v>
      </c>
      <c r="BZ21" s="14">
        <f t="shared" si="12"/>
        <v>60</v>
      </c>
      <c r="CA21" s="14" t="str">
        <f t="shared" si="13"/>
        <v/>
      </c>
      <c r="CB21" s="14" t="str">
        <f t="shared" si="14"/>
        <v/>
      </c>
      <c r="CG21" s="14">
        <v>19</v>
      </c>
      <c r="CH21" s="14" t="s">
        <v>266</v>
      </c>
      <c r="CI21" s="14" t="s">
        <v>26</v>
      </c>
      <c r="CJ21" s="13">
        <v>90</v>
      </c>
      <c r="CK21" s="13">
        <v>3</v>
      </c>
      <c r="CN21" s="14" t="str">
        <f t="shared" si="15"/>
        <v/>
      </c>
      <c r="CO21" s="14">
        <f t="shared" si="16"/>
        <v>90</v>
      </c>
      <c r="CP21" s="14" t="str">
        <f t="shared" si="17"/>
        <v/>
      </c>
    </row>
    <row r="22" spans="1:94" x14ac:dyDescent="0.25">
      <c r="A22" s="14">
        <v>20</v>
      </c>
      <c r="B22" s="14" t="s">
        <v>42</v>
      </c>
      <c r="C22" s="14" t="s">
        <v>25</v>
      </c>
      <c r="D22" s="13">
        <v>40</v>
      </c>
      <c r="E22" s="13">
        <v>1</v>
      </c>
      <c r="H22" s="14">
        <f t="shared" si="0"/>
        <v>40</v>
      </c>
      <c r="I22" s="14" t="str">
        <f t="shared" si="1"/>
        <v/>
      </c>
      <c r="J22" s="14" t="str">
        <f t="shared" si="2"/>
        <v/>
      </c>
      <c r="O22" s="14">
        <v>20</v>
      </c>
      <c r="P22" s="14" t="s">
        <v>98</v>
      </c>
      <c r="Q22" s="14" t="s">
        <v>27</v>
      </c>
      <c r="R22" s="13">
        <v>110</v>
      </c>
      <c r="S22" s="13">
        <v>3</v>
      </c>
      <c r="V22" s="14" t="str">
        <f t="shared" si="3"/>
        <v/>
      </c>
      <c r="W22" s="14" t="str">
        <f t="shared" si="4"/>
        <v/>
      </c>
      <c r="X22" s="14">
        <f t="shared" si="5"/>
        <v>110</v>
      </c>
      <c r="AC22" s="14">
        <v>20</v>
      </c>
      <c r="AD22" s="14" t="s">
        <v>132</v>
      </c>
      <c r="AE22" s="14" t="s">
        <v>26</v>
      </c>
      <c r="AF22" s="13">
        <v>70</v>
      </c>
      <c r="AG22" s="13">
        <v>2</v>
      </c>
      <c r="AJ22" s="14" t="str">
        <f t="shared" si="18"/>
        <v/>
      </c>
      <c r="AK22" s="14">
        <f t="shared" si="19"/>
        <v>70</v>
      </c>
      <c r="AL22" s="14" t="str">
        <f t="shared" si="20"/>
        <v/>
      </c>
      <c r="AQ22" s="14">
        <v>20</v>
      </c>
      <c r="AR22" s="14" t="s">
        <v>165</v>
      </c>
      <c r="AS22" s="14" t="s">
        <v>26</v>
      </c>
      <c r="AT22" s="13">
        <v>90</v>
      </c>
      <c r="AU22" s="13">
        <v>3</v>
      </c>
      <c r="AX22" s="14" t="str">
        <f t="shared" si="6"/>
        <v/>
      </c>
      <c r="AY22" s="14">
        <f t="shared" si="7"/>
        <v>90</v>
      </c>
      <c r="AZ22" s="14" t="str">
        <f t="shared" si="8"/>
        <v/>
      </c>
      <c r="BE22" s="14">
        <v>20</v>
      </c>
      <c r="BF22" s="14" t="s">
        <v>195</v>
      </c>
      <c r="BG22" s="14" t="s">
        <v>27</v>
      </c>
      <c r="BH22" s="13">
        <v>120</v>
      </c>
      <c r="BI22" s="13">
        <v>4</v>
      </c>
      <c r="BL22" s="14" t="str">
        <f t="shared" si="9"/>
        <v/>
      </c>
      <c r="BM22" s="14" t="str">
        <f t="shared" si="10"/>
        <v/>
      </c>
      <c r="BN22" s="14">
        <f t="shared" si="11"/>
        <v>120</v>
      </c>
      <c r="BS22" s="14">
        <v>20</v>
      </c>
      <c r="BT22" s="14" t="s">
        <v>228</v>
      </c>
      <c r="BU22" s="14" t="s">
        <v>25</v>
      </c>
      <c r="BV22" s="13">
        <v>50</v>
      </c>
      <c r="BW22" s="13">
        <v>1</v>
      </c>
      <c r="BZ22" s="14">
        <f t="shared" si="12"/>
        <v>50</v>
      </c>
      <c r="CA22" s="14" t="str">
        <f t="shared" si="13"/>
        <v/>
      </c>
      <c r="CB22" s="14" t="str">
        <f t="shared" si="14"/>
        <v/>
      </c>
      <c r="CG22" s="14">
        <v>20</v>
      </c>
      <c r="CH22" s="14" t="s">
        <v>267</v>
      </c>
      <c r="CI22" s="14" t="s">
        <v>25</v>
      </c>
      <c r="CJ22" s="13">
        <v>40</v>
      </c>
      <c r="CK22" s="13">
        <v>1</v>
      </c>
      <c r="CN22" s="14">
        <f t="shared" si="15"/>
        <v>40</v>
      </c>
      <c r="CO22" s="14" t="str">
        <f t="shared" si="16"/>
        <v/>
      </c>
      <c r="CP22" s="14" t="str">
        <f t="shared" si="17"/>
        <v/>
      </c>
    </row>
    <row r="23" spans="1:94" x14ac:dyDescent="0.25">
      <c r="A23" s="14">
        <v>21</v>
      </c>
      <c r="B23" s="14" t="s">
        <v>283</v>
      </c>
      <c r="C23" s="14" t="s">
        <v>26</v>
      </c>
      <c r="D23" s="13">
        <v>70</v>
      </c>
      <c r="E23" s="13">
        <v>1</v>
      </c>
      <c r="H23" s="14" t="str">
        <f t="shared" si="0"/>
        <v/>
      </c>
      <c r="I23" s="14">
        <f t="shared" si="1"/>
        <v>70</v>
      </c>
      <c r="J23" s="14" t="str">
        <f t="shared" si="2"/>
        <v/>
      </c>
      <c r="O23" s="14">
        <v>21</v>
      </c>
      <c r="P23" s="14" t="s">
        <v>99</v>
      </c>
      <c r="Q23" s="14" t="s">
        <v>25</v>
      </c>
      <c r="R23" s="13">
        <v>50</v>
      </c>
      <c r="S23" s="13">
        <v>1</v>
      </c>
      <c r="V23" s="14">
        <f t="shared" si="3"/>
        <v>50</v>
      </c>
      <c r="W23" s="14" t="str">
        <f t="shared" si="4"/>
        <v/>
      </c>
      <c r="X23" s="14" t="str">
        <f t="shared" si="5"/>
        <v/>
      </c>
      <c r="AC23" s="14">
        <v>21</v>
      </c>
      <c r="AD23" s="14" t="s">
        <v>133</v>
      </c>
      <c r="AE23" s="14" t="s">
        <v>25</v>
      </c>
      <c r="AF23" s="13">
        <v>50</v>
      </c>
      <c r="AG23" s="13">
        <v>1</v>
      </c>
      <c r="AJ23" s="14">
        <f t="shared" si="18"/>
        <v>50</v>
      </c>
      <c r="AK23" s="14" t="str">
        <f t="shared" si="19"/>
        <v/>
      </c>
      <c r="AL23" s="14" t="str">
        <f t="shared" si="20"/>
        <v/>
      </c>
      <c r="AQ23" s="14">
        <v>21</v>
      </c>
      <c r="AR23" s="14" t="s">
        <v>166</v>
      </c>
      <c r="AS23" s="14" t="s">
        <v>25</v>
      </c>
      <c r="AT23" s="13">
        <v>50</v>
      </c>
      <c r="AU23" s="13">
        <v>1</v>
      </c>
      <c r="AX23" s="14">
        <f t="shared" si="6"/>
        <v>50</v>
      </c>
      <c r="AY23" s="14" t="str">
        <f t="shared" si="7"/>
        <v/>
      </c>
      <c r="AZ23" s="14" t="str">
        <f t="shared" si="8"/>
        <v/>
      </c>
      <c r="BE23" s="14">
        <v>21</v>
      </c>
      <c r="BF23" s="14" t="s">
        <v>198</v>
      </c>
      <c r="BG23" s="14" t="s">
        <v>25</v>
      </c>
      <c r="BH23" s="13">
        <v>60</v>
      </c>
      <c r="BI23" s="13">
        <v>2</v>
      </c>
      <c r="BL23" s="14">
        <f t="shared" si="9"/>
        <v>60</v>
      </c>
      <c r="BM23" s="14" t="str">
        <f t="shared" si="10"/>
        <v/>
      </c>
      <c r="BN23" s="14" t="str">
        <f t="shared" si="11"/>
        <v/>
      </c>
      <c r="BS23" s="14">
        <v>21</v>
      </c>
      <c r="BT23" s="14" t="s">
        <v>229</v>
      </c>
      <c r="BU23" s="14" t="s">
        <v>26</v>
      </c>
      <c r="BV23" s="13">
        <v>80</v>
      </c>
      <c r="BW23" s="13">
        <v>2</v>
      </c>
      <c r="BZ23" s="14" t="str">
        <f t="shared" si="12"/>
        <v/>
      </c>
      <c r="CA23" s="14">
        <f t="shared" si="13"/>
        <v>80</v>
      </c>
      <c r="CB23" s="14" t="str">
        <f t="shared" si="14"/>
        <v/>
      </c>
      <c r="CG23" s="14">
        <v>21</v>
      </c>
      <c r="CH23" s="14" t="s">
        <v>268</v>
      </c>
      <c r="CI23" s="14" t="s">
        <v>26</v>
      </c>
      <c r="CJ23" s="13">
        <v>80</v>
      </c>
      <c r="CK23" s="13">
        <v>2</v>
      </c>
      <c r="CN23" s="14" t="str">
        <f t="shared" si="15"/>
        <v/>
      </c>
      <c r="CO23" s="14">
        <f t="shared" si="16"/>
        <v>80</v>
      </c>
      <c r="CP23" s="14" t="str">
        <f t="shared" si="17"/>
        <v/>
      </c>
    </row>
    <row r="24" spans="1:94" x14ac:dyDescent="0.25">
      <c r="A24" s="14">
        <v>22</v>
      </c>
      <c r="B24" s="14" t="s">
        <v>43</v>
      </c>
      <c r="C24" s="14" t="s">
        <v>25</v>
      </c>
      <c r="D24" s="13">
        <v>50</v>
      </c>
      <c r="E24" s="13">
        <v>1</v>
      </c>
      <c r="H24" s="14">
        <f t="shared" si="0"/>
        <v>50</v>
      </c>
      <c r="I24" s="14" t="str">
        <f t="shared" si="1"/>
        <v/>
      </c>
      <c r="J24" s="14" t="str">
        <f t="shared" si="2"/>
        <v/>
      </c>
      <c r="O24" s="14">
        <v>22</v>
      </c>
      <c r="P24" s="14" t="s">
        <v>100</v>
      </c>
      <c r="Q24" s="14" t="s">
        <v>26</v>
      </c>
      <c r="R24" s="13">
        <v>80</v>
      </c>
      <c r="S24" s="13">
        <v>2</v>
      </c>
      <c r="V24" s="14" t="str">
        <f t="shared" si="3"/>
        <v/>
      </c>
      <c r="W24" s="14">
        <f t="shared" si="4"/>
        <v>80</v>
      </c>
      <c r="X24" s="14" t="str">
        <f t="shared" si="5"/>
        <v/>
      </c>
      <c r="AC24" s="14">
        <v>22</v>
      </c>
      <c r="AD24" s="14" t="s">
        <v>134</v>
      </c>
      <c r="AE24" s="14" t="s">
        <v>26</v>
      </c>
      <c r="AF24" s="13">
        <v>70</v>
      </c>
      <c r="AG24" s="13">
        <v>1</v>
      </c>
      <c r="AJ24" s="14" t="str">
        <f t="shared" si="18"/>
        <v/>
      </c>
      <c r="AK24" s="14">
        <f t="shared" si="19"/>
        <v>70</v>
      </c>
      <c r="AL24" s="14" t="str">
        <f t="shared" si="20"/>
        <v/>
      </c>
      <c r="AQ24" s="14">
        <v>22</v>
      </c>
      <c r="AR24" s="14" t="s">
        <v>167</v>
      </c>
      <c r="AS24" s="14" t="s">
        <v>26</v>
      </c>
      <c r="AT24" s="13">
        <v>70</v>
      </c>
      <c r="AU24" s="13">
        <v>1</v>
      </c>
      <c r="AX24" s="14" t="str">
        <f t="shared" si="6"/>
        <v/>
      </c>
      <c r="AY24" s="14">
        <f t="shared" si="7"/>
        <v>70</v>
      </c>
      <c r="AZ24" s="14" t="str">
        <f t="shared" si="8"/>
        <v/>
      </c>
      <c r="BE24" s="14">
        <v>22</v>
      </c>
      <c r="BF24" s="14" t="s">
        <v>199</v>
      </c>
      <c r="BG24" s="14" t="s">
        <v>26</v>
      </c>
      <c r="BH24" s="13">
        <v>100</v>
      </c>
      <c r="BI24" s="13">
        <v>3</v>
      </c>
      <c r="BL24" s="14" t="str">
        <f t="shared" si="9"/>
        <v/>
      </c>
      <c r="BM24" s="14">
        <f t="shared" si="10"/>
        <v>100</v>
      </c>
      <c r="BN24" s="14" t="str">
        <f t="shared" si="11"/>
        <v/>
      </c>
      <c r="BS24" s="14">
        <v>22</v>
      </c>
      <c r="BT24" s="14" t="s">
        <v>230</v>
      </c>
      <c r="BU24" s="14" t="s">
        <v>27</v>
      </c>
      <c r="BV24" s="13">
        <v>120</v>
      </c>
      <c r="BW24" s="13">
        <v>3</v>
      </c>
      <c r="BZ24" s="14" t="str">
        <f t="shared" si="12"/>
        <v/>
      </c>
      <c r="CA24" s="14" t="str">
        <f t="shared" si="13"/>
        <v/>
      </c>
      <c r="CB24" s="14">
        <f t="shared" si="14"/>
        <v>120</v>
      </c>
      <c r="CG24" s="14">
        <v>22</v>
      </c>
      <c r="CH24" s="14" t="s">
        <v>269</v>
      </c>
      <c r="CI24" s="14" t="s">
        <v>27</v>
      </c>
      <c r="CJ24" s="13">
        <v>110</v>
      </c>
      <c r="CK24" s="13">
        <v>3</v>
      </c>
      <c r="CN24" s="14" t="str">
        <f t="shared" si="15"/>
        <v/>
      </c>
      <c r="CO24" s="14" t="str">
        <f t="shared" si="16"/>
        <v/>
      </c>
      <c r="CP24" s="14">
        <f t="shared" si="17"/>
        <v>110</v>
      </c>
    </row>
    <row r="25" spans="1:94" x14ac:dyDescent="0.25">
      <c r="A25" s="14">
        <v>23</v>
      </c>
      <c r="B25" s="14" t="s">
        <v>44</v>
      </c>
      <c r="C25" s="14" t="s">
        <v>26</v>
      </c>
      <c r="D25" s="13">
        <v>70</v>
      </c>
      <c r="E25" s="13">
        <v>1</v>
      </c>
      <c r="H25" s="14" t="str">
        <f t="shared" si="0"/>
        <v/>
      </c>
      <c r="I25" s="14">
        <f t="shared" si="1"/>
        <v>70</v>
      </c>
      <c r="J25" s="14" t="str">
        <f t="shared" si="2"/>
        <v/>
      </c>
      <c r="O25" s="14">
        <v>23</v>
      </c>
      <c r="P25" s="14" t="s">
        <v>101</v>
      </c>
      <c r="Q25" s="14" t="s">
        <v>27</v>
      </c>
      <c r="R25" s="13">
        <v>110</v>
      </c>
      <c r="S25" s="13">
        <v>3</v>
      </c>
      <c r="V25" s="14" t="str">
        <f t="shared" si="3"/>
        <v/>
      </c>
      <c r="W25" s="14" t="str">
        <f t="shared" si="4"/>
        <v/>
      </c>
      <c r="X25" s="14">
        <f t="shared" si="5"/>
        <v>110</v>
      </c>
      <c r="AC25" s="14">
        <v>23</v>
      </c>
      <c r="AD25" s="14" t="s">
        <v>135</v>
      </c>
      <c r="AE25" s="14" t="s">
        <v>25</v>
      </c>
      <c r="AF25" s="13">
        <v>60</v>
      </c>
      <c r="AG25" s="13">
        <v>2</v>
      </c>
      <c r="AJ25" s="14">
        <f t="shared" si="18"/>
        <v>60</v>
      </c>
      <c r="AK25" s="14" t="str">
        <f t="shared" si="19"/>
        <v/>
      </c>
      <c r="AL25" s="14" t="str">
        <f t="shared" si="20"/>
        <v/>
      </c>
      <c r="AQ25" s="14">
        <v>23</v>
      </c>
      <c r="AR25" s="14" t="s">
        <v>168</v>
      </c>
      <c r="AS25" s="14" t="str">
        <f>$AS$26</f>
        <v>Basic</v>
      </c>
      <c r="AT25" s="13">
        <v>70</v>
      </c>
      <c r="AU25" s="13">
        <v>1</v>
      </c>
      <c r="AX25" s="14">
        <f t="shared" si="6"/>
        <v>70</v>
      </c>
      <c r="AY25" s="14" t="str">
        <f t="shared" si="7"/>
        <v/>
      </c>
      <c r="AZ25" s="14" t="str">
        <f t="shared" si="8"/>
        <v/>
      </c>
      <c r="BE25" s="14">
        <v>23</v>
      </c>
      <c r="BF25" s="14" t="s">
        <v>200</v>
      </c>
      <c r="BG25" s="14" t="s">
        <v>26</v>
      </c>
      <c r="BH25" s="13">
        <v>80</v>
      </c>
      <c r="BI25" s="13">
        <v>2</v>
      </c>
      <c r="BL25" s="14" t="str">
        <f t="shared" si="9"/>
        <v/>
      </c>
      <c r="BM25" s="14">
        <f t="shared" si="10"/>
        <v>80</v>
      </c>
      <c r="BN25" s="14" t="str">
        <f t="shared" si="11"/>
        <v/>
      </c>
      <c r="BS25" s="14">
        <v>23</v>
      </c>
      <c r="BT25" s="14" t="s">
        <v>231</v>
      </c>
      <c r="BU25" s="14" t="s">
        <v>25</v>
      </c>
      <c r="BV25" s="13">
        <v>60</v>
      </c>
      <c r="BW25" s="13">
        <v>2</v>
      </c>
      <c r="BZ25" s="14">
        <f t="shared" si="12"/>
        <v>60</v>
      </c>
      <c r="CA25" s="14" t="str">
        <f t="shared" si="13"/>
        <v/>
      </c>
      <c r="CB25" s="14" t="str">
        <f t="shared" si="14"/>
        <v/>
      </c>
      <c r="CG25" s="14">
        <v>23</v>
      </c>
      <c r="CH25" s="14" t="s">
        <v>271</v>
      </c>
      <c r="CI25" s="14" t="s">
        <v>25</v>
      </c>
      <c r="CJ25" s="13">
        <v>50</v>
      </c>
      <c r="CK25" s="13">
        <v>1</v>
      </c>
      <c r="CN25" s="14">
        <f t="shared" si="15"/>
        <v>50</v>
      </c>
      <c r="CO25" s="14" t="str">
        <f t="shared" si="16"/>
        <v/>
      </c>
      <c r="CP25" s="14" t="str">
        <f t="shared" si="17"/>
        <v/>
      </c>
    </row>
    <row r="26" spans="1:94" x14ac:dyDescent="0.25">
      <c r="A26" s="14">
        <v>24</v>
      </c>
      <c r="B26" s="14" t="s">
        <v>45</v>
      </c>
      <c r="C26" s="14" t="s">
        <v>25</v>
      </c>
      <c r="D26" s="13">
        <v>50</v>
      </c>
      <c r="E26" s="13">
        <v>1</v>
      </c>
      <c r="H26" s="14">
        <f t="shared" si="0"/>
        <v>50</v>
      </c>
      <c r="I26" s="14" t="str">
        <f t="shared" si="1"/>
        <v/>
      </c>
      <c r="J26" s="14" t="str">
        <f t="shared" si="2"/>
        <v/>
      </c>
      <c r="O26" s="14">
        <v>24</v>
      </c>
      <c r="P26" s="14" t="s">
        <v>106</v>
      </c>
      <c r="Q26" s="14" t="s">
        <v>25</v>
      </c>
      <c r="R26" s="13">
        <v>80</v>
      </c>
      <c r="S26" s="13">
        <v>2</v>
      </c>
      <c r="V26" s="14">
        <f>IF(Q26="Basic",R26,"")</f>
        <v>80</v>
      </c>
      <c r="W26" s="14" t="str">
        <f t="shared" si="4"/>
        <v/>
      </c>
      <c r="X26" s="14" t="str">
        <f t="shared" si="5"/>
        <v/>
      </c>
      <c r="AC26" s="14">
        <v>24</v>
      </c>
      <c r="AD26" s="14" t="s">
        <v>136</v>
      </c>
      <c r="AE26" s="14" t="s">
        <v>26</v>
      </c>
      <c r="AF26" s="13">
        <v>90</v>
      </c>
      <c r="AG26" s="13">
        <v>3</v>
      </c>
      <c r="AJ26" s="14" t="str">
        <f t="shared" si="18"/>
        <v/>
      </c>
      <c r="AK26" s="14">
        <f t="shared" si="19"/>
        <v>90</v>
      </c>
      <c r="AL26" s="14" t="str">
        <f t="shared" si="20"/>
        <v/>
      </c>
      <c r="AQ26" s="14">
        <v>24</v>
      </c>
      <c r="AR26" s="14" t="s">
        <v>54</v>
      </c>
      <c r="AS26" s="14" t="s">
        <v>25</v>
      </c>
      <c r="AT26" s="13">
        <v>50</v>
      </c>
      <c r="AU26" s="13">
        <v>1</v>
      </c>
      <c r="AX26" s="14">
        <f t="shared" si="6"/>
        <v>50</v>
      </c>
      <c r="AY26" s="14" t="str">
        <f t="shared" si="7"/>
        <v/>
      </c>
      <c r="AZ26" s="14" t="str">
        <f t="shared" si="8"/>
        <v/>
      </c>
      <c r="BE26" s="14">
        <v>24</v>
      </c>
      <c r="BF26" s="14" t="s">
        <v>201</v>
      </c>
      <c r="BG26" s="14" t="s">
        <v>26</v>
      </c>
      <c r="BH26" s="13">
        <v>60</v>
      </c>
      <c r="BI26" s="13">
        <v>1</v>
      </c>
      <c r="BL26" s="14" t="str">
        <f t="shared" si="9"/>
        <v/>
      </c>
      <c r="BM26" s="14">
        <f t="shared" si="10"/>
        <v>60</v>
      </c>
      <c r="BN26" s="14" t="str">
        <f t="shared" si="11"/>
        <v/>
      </c>
      <c r="BS26" s="14">
        <v>24</v>
      </c>
      <c r="BT26" s="14" t="s">
        <v>232</v>
      </c>
      <c r="BU26" s="14" t="s">
        <v>26</v>
      </c>
      <c r="BV26" s="13">
        <v>80</v>
      </c>
      <c r="BW26" s="13">
        <v>2</v>
      </c>
      <c r="BZ26" s="14" t="str">
        <f t="shared" si="12"/>
        <v/>
      </c>
      <c r="CA26" s="14">
        <f t="shared" si="13"/>
        <v>80</v>
      </c>
      <c r="CB26" s="14" t="str">
        <f t="shared" si="14"/>
        <v/>
      </c>
      <c r="CG26" s="14">
        <v>24</v>
      </c>
      <c r="CH26" s="14" t="s">
        <v>270</v>
      </c>
      <c r="CI26" s="14" t="s">
        <v>26</v>
      </c>
      <c r="CJ26" s="13">
        <v>80</v>
      </c>
      <c r="CK26" s="13">
        <v>2</v>
      </c>
      <c r="CN26" s="14" t="str">
        <f t="shared" si="15"/>
        <v/>
      </c>
      <c r="CO26" s="14">
        <f t="shared" si="16"/>
        <v>80</v>
      </c>
      <c r="CP26" s="14" t="str">
        <f t="shared" si="17"/>
        <v/>
      </c>
    </row>
    <row r="27" spans="1:94" x14ac:dyDescent="0.25">
      <c r="A27" s="14">
        <v>25</v>
      </c>
      <c r="B27" s="14" t="s">
        <v>46</v>
      </c>
      <c r="C27" s="14" t="s">
        <v>26</v>
      </c>
      <c r="D27" s="13">
        <v>70</v>
      </c>
      <c r="E27" s="13">
        <v>1</v>
      </c>
      <c r="H27" s="14" t="str">
        <f t="shared" si="0"/>
        <v/>
      </c>
      <c r="I27" s="14">
        <f t="shared" si="1"/>
        <v>70</v>
      </c>
      <c r="J27" s="14" t="str">
        <f t="shared" si="2"/>
        <v/>
      </c>
      <c r="O27" s="14">
        <v>25</v>
      </c>
      <c r="P27" s="14" t="s">
        <v>307</v>
      </c>
      <c r="Q27" s="14" t="s">
        <v>25</v>
      </c>
      <c r="R27" s="13">
        <v>30</v>
      </c>
      <c r="S27" s="13">
        <v>0</v>
      </c>
      <c r="V27" s="14">
        <f t="shared" ref="V27:V35" si="21">IF(Q27="Basic",R27,"")</f>
        <v>30</v>
      </c>
      <c r="W27" s="14" t="str">
        <f t="shared" ref="W27:W35" si="22">IF(Q27="Stage 1",R27,"")</f>
        <v/>
      </c>
      <c r="X27" s="14" t="str">
        <f t="shared" ref="X27:X35" si="23">IF(Q27="Stage 2",R27,"")</f>
        <v/>
      </c>
      <c r="AC27" s="14">
        <v>25</v>
      </c>
      <c r="AD27" s="14" t="s">
        <v>137</v>
      </c>
      <c r="AE27" s="14" t="s">
        <v>26</v>
      </c>
      <c r="AF27" s="13">
        <v>80</v>
      </c>
      <c r="AG27" s="13">
        <v>1</v>
      </c>
      <c r="AJ27" s="14" t="str">
        <f t="shared" si="18"/>
        <v/>
      </c>
      <c r="AK27" s="14">
        <f t="shared" si="19"/>
        <v>80</v>
      </c>
      <c r="AL27" s="14" t="str">
        <f t="shared" si="20"/>
        <v/>
      </c>
      <c r="AQ27" s="14">
        <v>25</v>
      </c>
      <c r="AR27" s="14" t="s">
        <v>169</v>
      </c>
      <c r="AS27" s="14" t="s">
        <v>26</v>
      </c>
      <c r="AT27" s="13">
        <v>70</v>
      </c>
      <c r="AU27" s="13">
        <v>1</v>
      </c>
      <c r="AX27" s="14" t="str">
        <f t="shared" si="6"/>
        <v/>
      </c>
      <c r="AY27" s="14">
        <f t="shared" si="7"/>
        <v>70</v>
      </c>
      <c r="AZ27" s="14" t="str">
        <f t="shared" si="8"/>
        <v/>
      </c>
      <c r="BE27" s="14">
        <v>25</v>
      </c>
      <c r="BF27" s="14" t="s">
        <v>202</v>
      </c>
      <c r="BG27" s="14" t="s">
        <v>27</v>
      </c>
      <c r="BH27" s="13">
        <v>100</v>
      </c>
      <c r="BI27" s="13">
        <v>1</v>
      </c>
      <c r="BL27" s="14" t="str">
        <f t="shared" si="9"/>
        <v/>
      </c>
      <c r="BM27" s="14" t="str">
        <f t="shared" si="10"/>
        <v/>
      </c>
      <c r="BN27" s="14">
        <f t="shared" si="11"/>
        <v>100</v>
      </c>
      <c r="BS27" s="14">
        <v>25</v>
      </c>
      <c r="BT27" s="14" t="s">
        <v>55</v>
      </c>
      <c r="BU27" s="14" t="s">
        <v>25</v>
      </c>
      <c r="BV27" s="13">
        <v>50</v>
      </c>
      <c r="BW27" s="13">
        <v>1</v>
      </c>
      <c r="BZ27" s="14">
        <f t="shared" si="12"/>
        <v>50</v>
      </c>
      <c r="CA27" s="14" t="str">
        <f t="shared" si="13"/>
        <v/>
      </c>
      <c r="CB27" s="14" t="str">
        <f t="shared" si="14"/>
        <v/>
      </c>
      <c r="CG27" s="14">
        <v>25</v>
      </c>
      <c r="CH27" s="14" t="s">
        <v>272</v>
      </c>
      <c r="CI27" s="14" t="s">
        <v>25</v>
      </c>
      <c r="CJ27" s="13">
        <v>50</v>
      </c>
      <c r="CK27" s="13">
        <v>1</v>
      </c>
      <c r="CN27" s="14">
        <f t="shared" si="15"/>
        <v>50</v>
      </c>
      <c r="CO27" s="14" t="str">
        <f t="shared" si="16"/>
        <v/>
      </c>
      <c r="CP27" s="14" t="str">
        <f t="shared" si="17"/>
        <v/>
      </c>
    </row>
    <row r="28" spans="1:94" x14ac:dyDescent="0.25">
      <c r="A28" s="14">
        <v>26</v>
      </c>
      <c r="B28" s="14" t="s">
        <v>47</v>
      </c>
      <c r="C28" s="14" t="s">
        <v>27</v>
      </c>
      <c r="D28" s="13">
        <v>100</v>
      </c>
      <c r="E28" s="13">
        <v>1</v>
      </c>
      <c r="H28" s="14" t="str">
        <f t="shared" si="0"/>
        <v/>
      </c>
      <c r="I28" s="14" t="str">
        <f t="shared" si="1"/>
        <v/>
      </c>
      <c r="J28" s="14">
        <f t="shared" si="2"/>
        <v>100</v>
      </c>
      <c r="O28" s="14">
        <v>26</v>
      </c>
      <c r="P28" s="14" t="s">
        <v>107</v>
      </c>
      <c r="Q28" s="14" t="s">
        <v>25</v>
      </c>
      <c r="R28" s="13">
        <v>60</v>
      </c>
      <c r="S28" s="13">
        <v>2</v>
      </c>
      <c r="V28" s="14">
        <f t="shared" si="21"/>
        <v>60</v>
      </c>
      <c r="W28" s="14" t="str">
        <f t="shared" si="22"/>
        <v/>
      </c>
      <c r="X28" s="14" t="str">
        <f t="shared" si="23"/>
        <v/>
      </c>
      <c r="AC28" s="14">
        <v>26</v>
      </c>
      <c r="AD28" s="14" t="s">
        <v>138</v>
      </c>
      <c r="AE28" s="14" t="s">
        <v>26</v>
      </c>
      <c r="AF28" s="13">
        <v>80</v>
      </c>
      <c r="AG28" s="13">
        <v>1</v>
      </c>
      <c r="AJ28" s="14" t="str">
        <f t="shared" si="18"/>
        <v/>
      </c>
      <c r="AK28" s="14">
        <f t="shared" si="19"/>
        <v>80</v>
      </c>
      <c r="AL28" s="14" t="str">
        <f t="shared" si="20"/>
        <v/>
      </c>
      <c r="AQ28" s="14">
        <v>26</v>
      </c>
      <c r="AR28" s="14" t="s">
        <v>170</v>
      </c>
      <c r="AS28" s="14" t="s">
        <v>27</v>
      </c>
      <c r="AT28" s="13">
        <v>100</v>
      </c>
      <c r="AU28" s="13">
        <v>1</v>
      </c>
      <c r="AX28" s="14" t="str">
        <f t="shared" si="6"/>
        <v/>
      </c>
      <c r="AY28" s="14" t="str">
        <f t="shared" si="7"/>
        <v/>
      </c>
      <c r="AZ28" s="14">
        <f t="shared" si="8"/>
        <v>100</v>
      </c>
      <c r="BE28" s="14">
        <v>26</v>
      </c>
      <c r="BF28" s="14" t="s">
        <v>203</v>
      </c>
      <c r="BG28" s="14" t="s">
        <v>26</v>
      </c>
      <c r="BH28" s="13">
        <v>60</v>
      </c>
      <c r="BI28" s="13">
        <v>2</v>
      </c>
      <c r="BL28" s="14" t="str">
        <f t="shared" si="9"/>
        <v/>
      </c>
      <c r="BM28" s="14">
        <f t="shared" si="10"/>
        <v>60</v>
      </c>
      <c r="BN28" s="14" t="str">
        <f t="shared" si="11"/>
        <v/>
      </c>
      <c r="BS28" s="14">
        <v>26</v>
      </c>
      <c r="BT28" s="14" t="s">
        <v>234</v>
      </c>
      <c r="BU28" s="14" t="s">
        <v>26</v>
      </c>
      <c r="BV28" s="13">
        <v>70</v>
      </c>
      <c r="BW28" s="13">
        <v>2</v>
      </c>
      <c r="BZ28" s="14" t="str">
        <f t="shared" si="12"/>
        <v/>
      </c>
      <c r="CA28" s="14">
        <f t="shared" si="13"/>
        <v>70</v>
      </c>
      <c r="CB28" s="14" t="str">
        <f t="shared" si="14"/>
        <v/>
      </c>
      <c r="CG28" s="14">
        <v>26</v>
      </c>
      <c r="CH28" s="14" t="s">
        <v>273</v>
      </c>
      <c r="CI28" s="14" t="s">
        <v>26</v>
      </c>
      <c r="CJ28" s="13">
        <v>70</v>
      </c>
      <c r="CK28" s="13">
        <v>1</v>
      </c>
      <c r="CN28" s="14" t="str">
        <f t="shared" si="15"/>
        <v/>
      </c>
      <c r="CO28" s="14">
        <f t="shared" si="16"/>
        <v>70</v>
      </c>
      <c r="CP28" s="14" t="str">
        <f t="shared" si="17"/>
        <v/>
      </c>
    </row>
    <row r="29" spans="1:94" x14ac:dyDescent="0.25">
      <c r="A29" s="14">
        <v>27</v>
      </c>
      <c r="B29" s="14" t="s">
        <v>48</v>
      </c>
      <c r="C29" s="14" t="s">
        <v>25</v>
      </c>
      <c r="D29" s="13">
        <v>50</v>
      </c>
      <c r="E29" s="13">
        <v>1</v>
      </c>
      <c r="H29" s="14">
        <f t="shared" si="0"/>
        <v>50</v>
      </c>
      <c r="I29" s="14" t="str">
        <f t="shared" si="1"/>
        <v/>
      </c>
      <c r="J29" s="14" t="str">
        <f t="shared" si="2"/>
        <v/>
      </c>
      <c r="O29" s="14">
        <v>27</v>
      </c>
      <c r="P29" s="14" t="s">
        <v>108</v>
      </c>
      <c r="Q29" s="14" t="s">
        <v>26</v>
      </c>
      <c r="R29" s="13">
        <v>90</v>
      </c>
      <c r="S29" s="13">
        <v>3</v>
      </c>
      <c r="V29" s="14" t="str">
        <f t="shared" si="21"/>
        <v/>
      </c>
      <c r="W29" s="14">
        <f t="shared" si="22"/>
        <v>90</v>
      </c>
      <c r="X29" s="14" t="str">
        <f t="shared" si="23"/>
        <v/>
      </c>
      <c r="AC29" s="14">
        <v>27</v>
      </c>
      <c r="AD29" s="14" t="s">
        <v>139</v>
      </c>
      <c r="AE29" s="14" t="s">
        <v>26</v>
      </c>
      <c r="AF29" s="13">
        <v>60</v>
      </c>
      <c r="AG29" s="13">
        <v>1</v>
      </c>
      <c r="AJ29" s="14" t="str">
        <f t="shared" si="18"/>
        <v/>
      </c>
      <c r="AK29" s="14">
        <f t="shared" si="19"/>
        <v>60</v>
      </c>
      <c r="AL29" s="14" t="str">
        <f t="shared" si="20"/>
        <v/>
      </c>
      <c r="AQ29" s="14">
        <v>27</v>
      </c>
      <c r="AR29" s="14" t="s">
        <v>171</v>
      </c>
      <c r="AS29" s="14" t="s">
        <v>25</v>
      </c>
      <c r="AT29" s="13">
        <v>80</v>
      </c>
      <c r="AU29" s="13">
        <v>1</v>
      </c>
      <c r="AX29" s="14">
        <f t="shared" si="6"/>
        <v>80</v>
      </c>
      <c r="AY29" s="14" t="str">
        <f t="shared" si="7"/>
        <v/>
      </c>
      <c r="AZ29" s="14" t="str">
        <f t="shared" si="8"/>
        <v/>
      </c>
      <c r="BE29" s="14">
        <v>27</v>
      </c>
      <c r="BF29" s="14" t="s">
        <v>204</v>
      </c>
      <c r="BG29" s="14" t="s">
        <v>27</v>
      </c>
      <c r="BH29" s="13">
        <v>100</v>
      </c>
      <c r="BI29" s="13">
        <v>3</v>
      </c>
      <c r="BL29" s="14" t="str">
        <f t="shared" si="9"/>
        <v/>
      </c>
      <c r="BM29" s="14" t="str">
        <f t="shared" si="10"/>
        <v/>
      </c>
      <c r="BN29" s="14">
        <f t="shared" si="11"/>
        <v>100</v>
      </c>
      <c r="BS29" s="14">
        <v>27</v>
      </c>
      <c r="BT29" s="14" t="s">
        <v>233</v>
      </c>
      <c r="BU29" s="14" t="s">
        <v>27</v>
      </c>
      <c r="BV29" s="13">
        <v>90</v>
      </c>
      <c r="BW29" s="13">
        <v>1</v>
      </c>
      <c r="BZ29" s="14" t="str">
        <f t="shared" si="12"/>
        <v/>
      </c>
      <c r="CA29" s="14" t="str">
        <f t="shared" si="13"/>
        <v/>
      </c>
      <c r="CB29" s="14">
        <f t="shared" si="14"/>
        <v>90</v>
      </c>
      <c r="CG29" s="14">
        <v>27</v>
      </c>
      <c r="CH29" s="14" t="s">
        <v>274</v>
      </c>
      <c r="CI29" s="14" t="s">
        <v>25</v>
      </c>
      <c r="CJ29" s="13">
        <v>40</v>
      </c>
      <c r="CK29" s="13">
        <v>0</v>
      </c>
      <c r="CN29" s="14">
        <f t="shared" si="15"/>
        <v>40</v>
      </c>
      <c r="CO29" s="14" t="str">
        <f t="shared" si="16"/>
        <v/>
      </c>
      <c r="CP29" s="14" t="str">
        <f t="shared" si="17"/>
        <v/>
      </c>
    </row>
    <row r="30" spans="1:94" x14ac:dyDescent="0.25">
      <c r="A30" s="14">
        <v>28</v>
      </c>
      <c r="B30" s="14" t="s">
        <v>49</v>
      </c>
      <c r="C30" s="14" t="s">
        <v>26</v>
      </c>
      <c r="D30" s="13">
        <v>70</v>
      </c>
      <c r="E30" s="13">
        <v>2</v>
      </c>
      <c r="H30" s="14" t="str">
        <f t="shared" si="0"/>
        <v/>
      </c>
      <c r="I30" s="14">
        <f t="shared" si="1"/>
        <v>70</v>
      </c>
      <c r="J30" s="14" t="str">
        <f t="shared" si="2"/>
        <v/>
      </c>
      <c r="O30" s="14">
        <v>28</v>
      </c>
      <c r="P30" s="14" t="s">
        <v>109</v>
      </c>
      <c r="Q30" s="14" t="s">
        <v>25</v>
      </c>
      <c r="R30" s="13">
        <v>100</v>
      </c>
      <c r="S30" s="13">
        <v>3</v>
      </c>
      <c r="V30" s="14">
        <f t="shared" si="21"/>
        <v>100</v>
      </c>
      <c r="W30" s="14" t="str">
        <f t="shared" si="22"/>
        <v/>
      </c>
      <c r="X30" s="14" t="str">
        <f t="shared" si="23"/>
        <v/>
      </c>
      <c r="AC30" s="14">
        <v>28</v>
      </c>
      <c r="AD30" s="14" t="s">
        <v>140</v>
      </c>
      <c r="AE30" s="14" t="s">
        <v>27</v>
      </c>
      <c r="AF30" s="13">
        <v>110</v>
      </c>
      <c r="AG30" s="13">
        <v>2</v>
      </c>
      <c r="AJ30" s="14" t="str">
        <f t="shared" si="18"/>
        <v/>
      </c>
      <c r="AK30" s="14" t="str">
        <f t="shared" si="19"/>
        <v/>
      </c>
      <c r="AL30" s="14">
        <f t="shared" si="20"/>
        <v>110</v>
      </c>
      <c r="AQ30" s="14">
        <v>28</v>
      </c>
      <c r="AR30" s="14" t="s">
        <v>172</v>
      </c>
      <c r="AS30" s="14" t="s">
        <v>25</v>
      </c>
      <c r="AT30" s="13">
        <v>80</v>
      </c>
      <c r="AU30" s="13">
        <v>2</v>
      </c>
      <c r="AX30" s="14">
        <f t="shared" si="6"/>
        <v>80</v>
      </c>
      <c r="AY30" s="14" t="str">
        <f t="shared" si="7"/>
        <v/>
      </c>
      <c r="AZ30" s="14" t="str">
        <f t="shared" si="8"/>
        <v/>
      </c>
      <c r="BE30" s="14">
        <v>28</v>
      </c>
      <c r="BF30" s="14" t="s">
        <v>205</v>
      </c>
      <c r="BG30" s="14" t="s">
        <v>25</v>
      </c>
      <c r="BH30" s="13">
        <v>40</v>
      </c>
      <c r="BI30" s="13">
        <v>1</v>
      </c>
      <c r="BL30" s="14">
        <f t="shared" si="9"/>
        <v>40</v>
      </c>
      <c r="BM30" s="14" t="str">
        <f t="shared" si="10"/>
        <v/>
      </c>
      <c r="BN30" s="14" t="str">
        <f t="shared" si="11"/>
        <v/>
      </c>
      <c r="BS30" s="14">
        <v>28</v>
      </c>
      <c r="BT30" s="14" t="s">
        <v>313</v>
      </c>
      <c r="BU30" s="14" t="s">
        <v>25</v>
      </c>
      <c r="BV30" s="13">
        <v>30</v>
      </c>
      <c r="BW30" s="13">
        <v>0</v>
      </c>
      <c r="BZ30" s="14">
        <f t="shared" si="12"/>
        <v>30</v>
      </c>
      <c r="CA30" s="14" t="str">
        <f t="shared" si="13"/>
        <v/>
      </c>
      <c r="CB30" s="14" t="str">
        <f t="shared" si="14"/>
        <v/>
      </c>
      <c r="CG30" s="14">
        <v>28</v>
      </c>
      <c r="CH30" s="14" t="s">
        <v>275</v>
      </c>
      <c r="CI30" s="14" t="s">
        <v>26</v>
      </c>
      <c r="CJ30" s="13">
        <v>60</v>
      </c>
      <c r="CK30" s="13">
        <v>1</v>
      </c>
      <c r="CN30" s="14" t="str">
        <f t="shared" si="15"/>
        <v/>
      </c>
      <c r="CO30" s="14">
        <f t="shared" si="16"/>
        <v>60</v>
      </c>
      <c r="CP30" s="14" t="str">
        <f t="shared" si="17"/>
        <v/>
      </c>
    </row>
    <row r="31" spans="1:94" x14ac:dyDescent="0.25">
      <c r="A31" s="14">
        <v>29</v>
      </c>
      <c r="B31" s="14" t="s">
        <v>50</v>
      </c>
      <c r="C31" s="14" t="s">
        <v>25</v>
      </c>
      <c r="D31" s="13">
        <v>60</v>
      </c>
      <c r="E31" s="13">
        <v>2</v>
      </c>
      <c r="H31" s="14">
        <f t="shared" si="0"/>
        <v>60</v>
      </c>
      <c r="I31" s="14" t="str">
        <f t="shared" si="1"/>
        <v/>
      </c>
      <c r="J31" s="14" t="str">
        <f t="shared" si="2"/>
        <v/>
      </c>
      <c r="O31" s="14">
        <v>29</v>
      </c>
      <c r="P31" s="14" t="s">
        <v>287</v>
      </c>
      <c r="Q31" s="14" t="s">
        <v>25</v>
      </c>
      <c r="R31" s="13">
        <v>50</v>
      </c>
      <c r="S31" s="13">
        <v>0</v>
      </c>
      <c r="V31" s="14">
        <f t="shared" si="21"/>
        <v>50</v>
      </c>
      <c r="W31" s="14" t="str">
        <f t="shared" si="22"/>
        <v/>
      </c>
      <c r="X31" s="14" t="str">
        <f t="shared" si="23"/>
        <v/>
      </c>
      <c r="AC31" s="14">
        <v>29</v>
      </c>
      <c r="AD31" s="14" t="s">
        <v>141</v>
      </c>
      <c r="AE31" s="14" t="s">
        <v>25</v>
      </c>
      <c r="AF31" s="13">
        <v>50</v>
      </c>
      <c r="AG31" s="13">
        <v>1</v>
      </c>
      <c r="AJ31" s="14">
        <f t="shared" si="18"/>
        <v>50</v>
      </c>
      <c r="AK31" s="14" t="str">
        <f t="shared" si="19"/>
        <v/>
      </c>
      <c r="AL31" s="14" t="str">
        <f t="shared" si="20"/>
        <v/>
      </c>
      <c r="AQ31" s="14">
        <v>29</v>
      </c>
      <c r="AR31" s="14" t="s">
        <v>173</v>
      </c>
      <c r="AS31" s="14" t="s">
        <v>25</v>
      </c>
      <c r="AT31" s="13">
        <v>30</v>
      </c>
      <c r="AU31" s="13">
        <v>0</v>
      </c>
      <c r="AX31" s="14">
        <f t="shared" si="6"/>
        <v>30</v>
      </c>
      <c r="AY31" s="14" t="str">
        <f t="shared" si="7"/>
        <v/>
      </c>
      <c r="AZ31" s="14" t="str">
        <f t="shared" si="8"/>
        <v/>
      </c>
      <c r="BE31" s="14">
        <v>29</v>
      </c>
      <c r="BF31" s="14" t="s">
        <v>206</v>
      </c>
      <c r="BG31" s="14" t="s">
        <v>26</v>
      </c>
      <c r="BH31" s="13">
        <v>70</v>
      </c>
      <c r="BI31" s="13">
        <v>1</v>
      </c>
      <c r="BL31" s="14" t="str">
        <f t="shared" si="9"/>
        <v/>
      </c>
      <c r="BM31" s="14">
        <f t="shared" si="10"/>
        <v>70</v>
      </c>
      <c r="BN31" s="14" t="str">
        <f t="shared" si="11"/>
        <v/>
      </c>
      <c r="BS31" s="14">
        <v>29</v>
      </c>
      <c r="BT31" s="14" t="s">
        <v>314</v>
      </c>
      <c r="BU31" s="14" t="s">
        <v>26</v>
      </c>
      <c r="BV31" s="13">
        <v>70</v>
      </c>
      <c r="BW31" s="13">
        <v>0</v>
      </c>
      <c r="BZ31" s="14" t="str">
        <f t="shared" si="12"/>
        <v/>
      </c>
      <c r="CA31" s="14">
        <f t="shared" si="13"/>
        <v>70</v>
      </c>
      <c r="CB31" s="14" t="str">
        <f t="shared" si="14"/>
        <v/>
      </c>
      <c r="CG31" s="14">
        <v>29</v>
      </c>
      <c r="CH31" s="14" t="s">
        <v>276</v>
      </c>
      <c r="CI31" s="14" t="s">
        <v>27</v>
      </c>
      <c r="CJ31" s="13">
        <v>100</v>
      </c>
      <c r="CK31" s="13">
        <v>2</v>
      </c>
      <c r="CN31" s="14" t="str">
        <f t="shared" si="15"/>
        <v/>
      </c>
      <c r="CO31" s="14" t="str">
        <f t="shared" si="16"/>
        <v/>
      </c>
      <c r="CP31" s="14">
        <f t="shared" si="17"/>
        <v>100</v>
      </c>
    </row>
    <row r="32" spans="1:94" x14ac:dyDescent="0.25">
      <c r="A32" s="14">
        <v>30</v>
      </c>
      <c r="B32" s="14" t="s">
        <v>51</v>
      </c>
      <c r="C32" s="14" t="s">
        <v>26</v>
      </c>
      <c r="D32" s="13">
        <v>90</v>
      </c>
      <c r="E32" s="13">
        <v>3</v>
      </c>
      <c r="H32" s="14" t="str">
        <f t="shared" si="0"/>
        <v/>
      </c>
      <c r="I32" s="14">
        <f t="shared" si="1"/>
        <v>90</v>
      </c>
      <c r="J32" s="14" t="str">
        <f t="shared" si="2"/>
        <v/>
      </c>
      <c r="O32" s="14">
        <v>30</v>
      </c>
      <c r="P32" s="14" t="s">
        <v>288</v>
      </c>
      <c r="Q32" s="14" t="s">
        <v>26</v>
      </c>
      <c r="R32" s="13">
        <v>70</v>
      </c>
      <c r="S32" s="13">
        <v>1</v>
      </c>
      <c r="V32" s="14" t="str">
        <f t="shared" si="21"/>
        <v/>
      </c>
      <c r="W32" s="14">
        <f t="shared" si="22"/>
        <v>70</v>
      </c>
      <c r="X32" s="14" t="str">
        <f t="shared" si="23"/>
        <v/>
      </c>
      <c r="AC32" s="14">
        <v>30</v>
      </c>
      <c r="AD32" s="14" t="s">
        <v>142</v>
      </c>
      <c r="AE32" s="14" t="s">
        <v>26</v>
      </c>
      <c r="AF32" s="13">
        <v>80</v>
      </c>
      <c r="AG32" s="13">
        <v>2</v>
      </c>
      <c r="AJ32" s="14" t="str">
        <f t="shared" si="18"/>
        <v/>
      </c>
      <c r="AK32" s="14">
        <f t="shared" si="19"/>
        <v>80</v>
      </c>
      <c r="AL32" s="14" t="str">
        <f t="shared" si="20"/>
        <v/>
      </c>
      <c r="AQ32" s="14">
        <v>30</v>
      </c>
      <c r="AR32" s="14" t="s">
        <v>174</v>
      </c>
      <c r="AS32" s="14" t="s">
        <v>26</v>
      </c>
      <c r="AT32" s="13">
        <v>80</v>
      </c>
      <c r="AU32" s="13">
        <v>2</v>
      </c>
      <c r="AX32" s="14" t="str">
        <f t="shared" si="6"/>
        <v/>
      </c>
      <c r="AY32" s="14">
        <f t="shared" si="7"/>
        <v>80</v>
      </c>
      <c r="AZ32" s="14" t="str">
        <f t="shared" si="8"/>
        <v/>
      </c>
      <c r="BE32" s="14">
        <v>30</v>
      </c>
      <c r="BF32" s="14" t="s">
        <v>206</v>
      </c>
      <c r="BG32" s="14" t="s">
        <v>26</v>
      </c>
      <c r="BH32" s="13">
        <v>80</v>
      </c>
      <c r="BI32" s="13">
        <v>2</v>
      </c>
      <c r="BL32" s="14" t="str">
        <f t="shared" si="9"/>
        <v/>
      </c>
      <c r="BM32" s="14">
        <f t="shared" si="10"/>
        <v>80</v>
      </c>
      <c r="BN32" s="14" t="str">
        <f t="shared" si="11"/>
        <v/>
      </c>
      <c r="BS32" s="14">
        <v>30</v>
      </c>
      <c r="BT32" s="14" t="s">
        <v>235</v>
      </c>
      <c r="BU32" s="14" t="s">
        <v>25</v>
      </c>
      <c r="BV32" s="13">
        <v>80</v>
      </c>
      <c r="BW32" s="13">
        <v>2</v>
      </c>
      <c r="BZ32" s="14">
        <f t="shared" si="12"/>
        <v>80</v>
      </c>
      <c r="CA32" s="14" t="str">
        <f t="shared" si="13"/>
        <v/>
      </c>
      <c r="CB32" s="14" t="str">
        <f t="shared" si="14"/>
        <v/>
      </c>
      <c r="CG32" s="14">
        <v>30</v>
      </c>
      <c r="CH32" s="14" t="s">
        <v>277</v>
      </c>
      <c r="CI32" s="14" t="s">
        <v>25</v>
      </c>
      <c r="CJ32" s="13">
        <v>60</v>
      </c>
      <c r="CK32" s="13">
        <v>1</v>
      </c>
      <c r="CN32" s="14">
        <f t="shared" si="15"/>
        <v>60</v>
      </c>
      <c r="CO32" s="14" t="str">
        <f t="shared" si="16"/>
        <v/>
      </c>
      <c r="CP32" s="14" t="str">
        <f t="shared" si="17"/>
        <v/>
      </c>
    </row>
    <row r="33" spans="1:94" x14ac:dyDescent="0.25">
      <c r="A33" s="14">
        <v>31</v>
      </c>
      <c r="B33" s="14" t="s">
        <v>52</v>
      </c>
      <c r="C33" s="14" t="s">
        <v>25</v>
      </c>
      <c r="D33" s="13">
        <v>60</v>
      </c>
      <c r="E33" s="13">
        <v>2</v>
      </c>
      <c r="H33" s="14">
        <f t="shared" si="0"/>
        <v>60</v>
      </c>
      <c r="I33" s="14" t="str">
        <f t="shared" si="1"/>
        <v/>
      </c>
      <c r="J33" s="14" t="str">
        <f t="shared" si="2"/>
        <v/>
      </c>
      <c r="O33" s="14">
        <v>31</v>
      </c>
      <c r="P33" s="14" t="s">
        <v>289</v>
      </c>
      <c r="Q33" s="14" t="s">
        <v>27</v>
      </c>
      <c r="R33" s="13">
        <v>100</v>
      </c>
      <c r="S33" s="13">
        <v>2</v>
      </c>
      <c r="V33" s="14" t="str">
        <f t="shared" si="21"/>
        <v/>
      </c>
      <c r="W33" s="14" t="str">
        <f t="shared" si="22"/>
        <v/>
      </c>
      <c r="X33" s="14">
        <f t="shared" si="23"/>
        <v>100</v>
      </c>
      <c r="AC33" s="14">
        <v>31</v>
      </c>
      <c r="AD33" s="14" t="s">
        <v>143</v>
      </c>
      <c r="AE33" s="14" t="s">
        <v>27</v>
      </c>
      <c r="AF33" s="13">
        <v>110</v>
      </c>
      <c r="AG33" s="13">
        <v>3</v>
      </c>
      <c r="AJ33" s="14" t="str">
        <f t="shared" si="18"/>
        <v/>
      </c>
      <c r="AK33" s="14" t="str">
        <f t="shared" si="19"/>
        <v/>
      </c>
      <c r="AL33" s="14">
        <f t="shared" si="20"/>
        <v>110</v>
      </c>
      <c r="AQ33" s="14">
        <v>31</v>
      </c>
      <c r="AR33" s="14" t="s">
        <v>175</v>
      </c>
      <c r="AS33" s="14" t="s">
        <v>27</v>
      </c>
      <c r="AT33" s="13">
        <v>110</v>
      </c>
      <c r="AU33" s="13">
        <v>3</v>
      </c>
      <c r="AX33" s="14" t="str">
        <f t="shared" si="6"/>
        <v/>
      </c>
      <c r="AY33" s="14" t="str">
        <f t="shared" si="7"/>
        <v/>
      </c>
      <c r="AZ33" s="14">
        <f t="shared" si="8"/>
        <v>110</v>
      </c>
      <c r="BE33" s="14">
        <v>31</v>
      </c>
      <c r="BF33" s="14" t="s">
        <v>291</v>
      </c>
      <c r="BG33" s="14" t="s">
        <v>25</v>
      </c>
      <c r="BH33" s="13">
        <v>50</v>
      </c>
      <c r="BI33" s="13">
        <v>1</v>
      </c>
      <c r="BL33" s="14">
        <f t="shared" si="9"/>
        <v>50</v>
      </c>
      <c r="BM33" s="14" t="str">
        <f t="shared" si="10"/>
        <v/>
      </c>
      <c r="BN33" s="14" t="str">
        <f t="shared" si="11"/>
        <v/>
      </c>
      <c r="BS33" s="14">
        <v>31</v>
      </c>
      <c r="BT33" s="14" t="s">
        <v>310</v>
      </c>
      <c r="BU33" s="14" t="s">
        <v>25</v>
      </c>
      <c r="BV33" s="13">
        <v>50</v>
      </c>
      <c r="BW33" s="13">
        <v>1</v>
      </c>
      <c r="BZ33" s="14">
        <f t="shared" si="12"/>
        <v>50</v>
      </c>
      <c r="CA33" s="14" t="str">
        <f t="shared" si="13"/>
        <v/>
      </c>
      <c r="CB33" s="14" t="str">
        <f t="shared" si="14"/>
        <v/>
      </c>
      <c r="CG33" s="14">
        <v>31</v>
      </c>
      <c r="CH33" s="14" t="s">
        <v>290</v>
      </c>
      <c r="CI33" s="14" t="s">
        <v>25</v>
      </c>
      <c r="CJ33" s="13">
        <v>80</v>
      </c>
      <c r="CK33" s="13">
        <v>2</v>
      </c>
      <c r="CN33" s="14">
        <f t="shared" si="15"/>
        <v>80</v>
      </c>
      <c r="CO33" s="14" t="str">
        <f t="shared" si="16"/>
        <v/>
      </c>
      <c r="CP33" s="14" t="str">
        <f t="shared" si="17"/>
        <v/>
      </c>
    </row>
    <row r="34" spans="1:94" x14ac:dyDescent="0.25">
      <c r="A34" s="14">
        <v>32</v>
      </c>
      <c r="B34" s="14" t="s">
        <v>53</v>
      </c>
      <c r="C34" s="14" t="s">
        <v>26</v>
      </c>
      <c r="D34" s="13">
        <v>80</v>
      </c>
      <c r="E34" s="13">
        <v>2</v>
      </c>
      <c r="H34" s="14" t="str">
        <f t="shared" si="0"/>
        <v/>
      </c>
      <c r="I34" s="14">
        <f t="shared" si="1"/>
        <v>80</v>
      </c>
      <c r="J34" s="14" t="str">
        <f t="shared" si="2"/>
        <v/>
      </c>
      <c r="O34" s="14"/>
      <c r="P34" s="14"/>
      <c r="Q34" s="14"/>
      <c r="V34" s="14" t="str">
        <f t="shared" si="21"/>
        <v/>
      </c>
      <c r="W34" s="14" t="str">
        <f t="shared" si="22"/>
        <v/>
      </c>
      <c r="X34" s="14" t="str">
        <f t="shared" si="23"/>
        <v/>
      </c>
      <c r="AC34" s="14">
        <v>32</v>
      </c>
      <c r="AD34" s="14" t="s">
        <v>145</v>
      </c>
      <c r="AE34" s="14" t="s">
        <v>25</v>
      </c>
      <c r="AF34" s="13">
        <v>70</v>
      </c>
      <c r="AG34" s="13">
        <v>1</v>
      </c>
      <c r="AJ34" s="14">
        <f t="shared" si="18"/>
        <v>70</v>
      </c>
      <c r="AK34" s="14" t="str">
        <f t="shared" si="19"/>
        <v/>
      </c>
      <c r="AL34" s="14" t="str">
        <f t="shared" si="20"/>
        <v/>
      </c>
      <c r="AQ34" s="14">
        <v>32</v>
      </c>
      <c r="AR34" s="14" t="s">
        <v>176</v>
      </c>
      <c r="AS34" s="14" t="s">
        <v>25</v>
      </c>
      <c r="AT34" s="13">
        <v>90</v>
      </c>
      <c r="AU34" s="13">
        <v>3</v>
      </c>
      <c r="AX34" s="14">
        <f t="shared" si="6"/>
        <v>90</v>
      </c>
      <c r="AY34" s="14" t="str">
        <f t="shared" si="7"/>
        <v/>
      </c>
      <c r="AZ34" s="14" t="str">
        <f t="shared" si="8"/>
        <v/>
      </c>
      <c r="BE34" s="14">
        <v>32</v>
      </c>
      <c r="BF34" s="14" t="s">
        <v>292</v>
      </c>
      <c r="BG34" s="14" t="s">
        <v>26</v>
      </c>
      <c r="BH34" s="13">
        <v>80</v>
      </c>
      <c r="BI34" s="13">
        <v>2</v>
      </c>
      <c r="BL34" s="14" t="str">
        <f t="shared" si="9"/>
        <v/>
      </c>
      <c r="BM34" s="14">
        <f t="shared" si="10"/>
        <v>80</v>
      </c>
      <c r="BN34" s="14" t="str">
        <f t="shared" si="11"/>
        <v/>
      </c>
      <c r="BS34" s="14">
        <v>32</v>
      </c>
      <c r="BT34" s="14" t="s">
        <v>311</v>
      </c>
      <c r="BU34" s="14" t="s">
        <v>26</v>
      </c>
      <c r="BV34" s="13">
        <v>80</v>
      </c>
      <c r="BW34" s="13">
        <v>2</v>
      </c>
      <c r="BZ34" s="14" t="str">
        <f t="shared" si="12"/>
        <v/>
      </c>
      <c r="CA34" s="14">
        <f t="shared" si="13"/>
        <v>80</v>
      </c>
      <c r="CB34" s="14" t="str">
        <f t="shared" si="14"/>
        <v/>
      </c>
      <c r="CG34" s="14">
        <v>32</v>
      </c>
      <c r="CH34" s="14" t="s">
        <v>163</v>
      </c>
      <c r="CI34" s="14" t="s">
        <v>26</v>
      </c>
      <c r="CJ34" s="13">
        <v>70</v>
      </c>
      <c r="CK34" s="13">
        <v>1</v>
      </c>
      <c r="CN34" s="14" t="str">
        <f t="shared" ref="CN34:CN39" si="24">IF(CI34="Basic",CJ34,"")</f>
        <v/>
      </c>
      <c r="CO34" s="14">
        <f t="shared" ref="CO34:CO39" si="25">IF(CI34="Stage 1",CJ34,"")</f>
        <v>70</v>
      </c>
      <c r="CP34" s="14" t="str">
        <f t="shared" ref="CP34:CP39" si="26">IF(CI34="Stage 2",CJ34,"")</f>
        <v/>
      </c>
    </row>
    <row r="35" spans="1:94" x14ac:dyDescent="0.25">
      <c r="A35" s="14">
        <v>33</v>
      </c>
      <c r="B35" s="14" t="s">
        <v>56</v>
      </c>
      <c r="C35" s="14" t="s">
        <v>25</v>
      </c>
      <c r="D35" s="13">
        <v>60</v>
      </c>
      <c r="E35" s="13">
        <v>2</v>
      </c>
      <c r="H35" s="14">
        <f t="shared" si="0"/>
        <v>60</v>
      </c>
      <c r="I35" s="14" t="str">
        <f t="shared" si="1"/>
        <v/>
      </c>
      <c r="J35" s="14" t="str">
        <f t="shared" si="2"/>
        <v/>
      </c>
      <c r="O35" s="14"/>
      <c r="P35" s="14"/>
      <c r="Q35" s="14"/>
      <c r="V35" s="14" t="str">
        <f t="shared" si="21"/>
        <v/>
      </c>
      <c r="W35" s="14" t="str">
        <f t="shared" si="22"/>
        <v/>
      </c>
      <c r="X35" s="14" t="str">
        <f t="shared" si="23"/>
        <v/>
      </c>
      <c r="AC35" s="14">
        <v>33</v>
      </c>
      <c r="AD35" s="14" t="s">
        <v>144</v>
      </c>
      <c r="AE35" s="14" t="s">
        <v>25</v>
      </c>
      <c r="AF35" s="13">
        <v>80</v>
      </c>
      <c r="AG35" s="13">
        <v>2</v>
      </c>
      <c r="AJ35" s="14">
        <f t="shared" si="18"/>
        <v>80</v>
      </c>
      <c r="AK35" s="14" t="str">
        <f t="shared" si="19"/>
        <v/>
      </c>
      <c r="AL35" s="14" t="str">
        <f t="shared" si="20"/>
        <v/>
      </c>
      <c r="AQ35" s="14"/>
      <c r="AR35" s="14"/>
      <c r="AS35" s="14"/>
      <c r="AX35" s="14" t="str">
        <f t="shared" si="6"/>
        <v/>
      </c>
      <c r="AY35" s="14" t="str">
        <f t="shared" si="7"/>
        <v/>
      </c>
      <c r="AZ35" s="14" t="str">
        <f t="shared" si="8"/>
        <v/>
      </c>
      <c r="BE35" s="14">
        <v>33</v>
      </c>
      <c r="BF35" s="14" t="s">
        <v>293</v>
      </c>
      <c r="BG35" s="14" t="s">
        <v>27</v>
      </c>
      <c r="BH35" s="13">
        <v>110</v>
      </c>
      <c r="BI35" s="13">
        <v>3</v>
      </c>
      <c r="BL35" s="14" t="str">
        <f t="shared" si="9"/>
        <v/>
      </c>
      <c r="BM35" s="14" t="str">
        <f t="shared" si="10"/>
        <v/>
      </c>
      <c r="BN35" s="14">
        <f t="shared" si="11"/>
        <v>110</v>
      </c>
      <c r="BS35" s="14">
        <v>33</v>
      </c>
      <c r="BT35" s="14" t="s">
        <v>312</v>
      </c>
      <c r="BU35" s="14" t="s">
        <v>27</v>
      </c>
      <c r="BV35" s="13">
        <v>100</v>
      </c>
      <c r="BW35" s="13">
        <v>2</v>
      </c>
      <c r="BZ35" s="14" t="str">
        <f t="shared" si="12"/>
        <v/>
      </c>
      <c r="CA35" s="14" t="str">
        <f t="shared" si="13"/>
        <v/>
      </c>
      <c r="CB35" s="14">
        <f t="shared" si="14"/>
        <v>100</v>
      </c>
      <c r="CG35" s="14"/>
      <c r="CH35" s="14"/>
      <c r="CI35" s="14"/>
      <c r="CN35" s="14" t="str">
        <f t="shared" si="24"/>
        <v/>
      </c>
      <c r="CO35" s="14" t="str">
        <f t="shared" si="25"/>
        <v/>
      </c>
      <c r="CP35" s="14" t="str">
        <f t="shared" si="26"/>
        <v/>
      </c>
    </row>
    <row r="36" spans="1:94" x14ac:dyDescent="0.25">
      <c r="A36" s="14">
        <v>34</v>
      </c>
      <c r="B36" s="14" t="s">
        <v>57</v>
      </c>
      <c r="C36" s="14" t="s">
        <v>26</v>
      </c>
      <c r="D36" s="13">
        <v>100</v>
      </c>
      <c r="E36" s="13">
        <v>4</v>
      </c>
      <c r="H36" s="14" t="str">
        <f t="shared" si="0"/>
        <v/>
      </c>
      <c r="I36" s="14">
        <f t="shared" si="1"/>
        <v>100</v>
      </c>
      <c r="J36" s="14" t="str">
        <f t="shared" si="2"/>
        <v/>
      </c>
      <c r="O36" s="14"/>
      <c r="P36" s="14"/>
      <c r="Q36" s="14"/>
      <c r="V36" s="14" t="str">
        <f>IF(Q36="Basic",R36,"")</f>
        <v/>
      </c>
      <c r="W36" s="14" t="str">
        <f>IF(Q36="Stage 1",R36,"")</f>
        <v/>
      </c>
      <c r="X36" s="14" t="str">
        <f>IF(Q36="Stage 2",R36,"")</f>
        <v/>
      </c>
      <c r="AC36" s="14"/>
      <c r="AD36" s="14"/>
      <c r="AE36" s="14"/>
      <c r="AJ36" s="14" t="str">
        <f>IF(AE36="Basic",AF36,"")</f>
        <v/>
      </c>
      <c r="AK36" s="14" t="str">
        <f>IF(AE36="Stage 1",AF36,"")</f>
        <v/>
      </c>
      <c r="AL36" s="14" t="str">
        <f>IF(AE36="Stage 2",AF36,"")</f>
        <v/>
      </c>
      <c r="AQ36" s="14"/>
      <c r="AR36" s="14"/>
      <c r="AS36" s="14"/>
      <c r="AX36" s="14" t="str">
        <f t="shared" si="6"/>
        <v/>
      </c>
      <c r="AY36" s="14" t="str">
        <f t="shared" si="7"/>
        <v/>
      </c>
      <c r="AZ36" s="14" t="str">
        <f t="shared" si="8"/>
        <v/>
      </c>
      <c r="BE36" s="14">
        <v>34</v>
      </c>
      <c r="BF36" s="14" t="s">
        <v>207</v>
      </c>
      <c r="BG36" s="14" t="s">
        <v>27</v>
      </c>
      <c r="BH36" s="13">
        <v>110</v>
      </c>
      <c r="BI36" s="13">
        <v>2</v>
      </c>
      <c r="BL36" s="14" t="str">
        <f t="shared" si="9"/>
        <v/>
      </c>
      <c r="BM36" s="14" t="str">
        <f t="shared" si="10"/>
        <v/>
      </c>
      <c r="BN36" s="14">
        <f t="shared" si="11"/>
        <v>110</v>
      </c>
      <c r="BS36" s="14"/>
      <c r="BT36" s="14"/>
      <c r="BU36" s="14"/>
      <c r="BZ36" s="14" t="str">
        <f t="shared" si="12"/>
        <v/>
      </c>
      <c r="CA36" s="14" t="str">
        <f t="shared" si="13"/>
        <v/>
      </c>
      <c r="CB36" s="14" t="str">
        <f t="shared" si="14"/>
        <v/>
      </c>
      <c r="CG36" s="14"/>
      <c r="CH36" s="14"/>
      <c r="CI36" s="14"/>
      <c r="CN36" s="14" t="str">
        <f t="shared" si="24"/>
        <v/>
      </c>
      <c r="CO36" s="14" t="str">
        <f t="shared" si="25"/>
        <v/>
      </c>
      <c r="CP36" s="14" t="str">
        <f t="shared" si="26"/>
        <v/>
      </c>
    </row>
    <row r="37" spans="1:94" x14ac:dyDescent="0.25">
      <c r="A37" s="14">
        <v>35</v>
      </c>
      <c r="B37" s="14" t="s">
        <v>110</v>
      </c>
      <c r="C37" s="14" t="s">
        <v>25</v>
      </c>
      <c r="D37" s="13">
        <v>60</v>
      </c>
      <c r="E37" s="13">
        <v>0</v>
      </c>
      <c r="H37" s="14">
        <f t="shared" si="0"/>
        <v>60</v>
      </c>
      <c r="I37" s="14" t="str">
        <f t="shared" si="1"/>
        <v/>
      </c>
      <c r="J37" s="14" t="str">
        <f t="shared" si="2"/>
        <v/>
      </c>
      <c r="O37" s="14"/>
      <c r="P37" s="14"/>
      <c r="Q37" s="14"/>
      <c r="V37" s="14" t="str">
        <f t="shared" si="3"/>
        <v/>
      </c>
      <c r="W37" s="14" t="str">
        <f t="shared" si="4"/>
        <v/>
      </c>
      <c r="X37" s="14" t="str">
        <f t="shared" si="5"/>
        <v/>
      </c>
      <c r="AC37" s="14"/>
      <c r="AD37" s="14"/>
      <c r="AE37" s="14"/>
      <c r="AJ37" s="14" t="str">
        <f>IF(AE37="Basic",AF37,"")</f>
        <v/>
      </c>
      <c r="AK37" s="14" t="str">
        <f>IF(AE37="Stage 1",AF37,"")</f>
        <v/>
      </c>
      <c r="AL37" s="14" t="str">
        <f>IF(AE37="Stage 2",AF37,"")</f>
        <v/>
      </c>
      <c r="AQ37" s="14"/>
      <c r="AR37" s="14"/>
      <c r="AS37" s="14"/>
      <c r="AX37" s="14" t="str">
        <f t="shared" si="6"/>
        <v/>
      </c>
      <c r="AY37" s="14" t="str">
        <f t="shared" si="7"/>
        <v/>
      </c>
      <c r="AZ37" s="14" t="str">
        <f t="shared" si="8"/>
        <v/>
      </c>
      <c r="BE37" s="14"/>
      <c r="BF37" s="14"/>
      <c r="BG37" s="14"/>
      <c r="BL37" s="14" t="str">
        <f t="shared" si="9"/>
        <v/>
      </c>
      <c r="BM37" s="14" t="str">
        <f t="shared" si="10"/>
        <v/>
      </c>
      <c r="BN37" s="14" t="str">
        <f t="shared" si="11"/>
        <v/>
      </c>
      <c r="BS37" s="14"/>
      <c r="BT37" s="14"/>
      <c r="BU37" s="14"/>
      <c r="BZ37" s="14" t="str">
        <f t="shared" si="12"/>
        <v/>
      </c>
      <c r="CA37" s="14" t="str">
        <f t="shared" si="13"/>
        <v/>
      </c>
      <c r="CB37" s="14" t="str">
        <f t="shared" si="14"/>
        <v/>
      </c>
      <c r="CG37" s="14"/>
      <c r="CH37" s="14"/>
      <c r="CI37" s="14"/>
      <c r="CN37" s="14" t="str">
        <f t="shared" si="24"/>
        <v/>
      </c>
      <c r="CO37" s="14" t="str">
        <f t="shared" si="25"/>
        <v/>
      </c>
      <c r="CP37" s="14" t="str">
        <f t="shared" si="26"/>
        <v/>
      </c>
    </row>
    <row r="38" spans="1:94" x14ac:dyDescent="0.25">
      <c r="A38" s="14">
        <v>36</v>
      </c>
      <c r="B38" s="14" t="s">
        <v>111</v>
      </c>
      <c r="C38" s="14" t="s">
        <v>26</v>
      </c>
      <c r="D38" s="13">
        <v>80</v>
      </c>
      <c r="E38" s="13">
        <v>1</v>
      </c>
      <c r="H38" s="14" t="str">
        <f t="shared" si="0"/>
        <v/>
      </c>
      <c r="I38" s="14">
        <f t="shared" si="1"/>
        <v>80</v>
      </c>
      <c r="J38" s="14" t="str">
        <f t="shared" si="2"/>
        <v/>
      </c>
      <c r="O38" s="14"/>
      <c r="P38" s="14"/>
      <c r="Q38" s="14"/>
      <c r="V38" s="14" t="str">
        <f t="shared" si="3"/>
        <v/>
      </c>
      <c r="W38" s="14" t="str">
        <f t="shared" si="4"/>
        <v/>
      </c>
      <c r="X38" s="14" t="str">
        <f t="shared" si="5"/>
        <v/>
      </c>
      <c r="AC38" s="14"/>
      <c r="AD38" s="14"/>
      <c r="AE38" s="14"/>
      <c r="AJ38" s="14" t="str">
        <f>IF(AE38="Basic",AF38,"")</f>
        <v/>
      </c>
      <c r="AK38" s="14" t="str">
        <f>IF(AE38="Stage 1",AF38,"")</f>
        <v/>
      </c>
      <c r="AL38" s="14" t="str">
        <f>IF(AE38="Stage 2",AF38,"")</f>
        <v/>
      </c>
      <c r="AQ38" s="14"/>
      <c r="AR38" s="14"/>
      <c r="AS38" s="14"/>
      <c r="AX38" s="14" t="str">
        <f t="shared" si="6"/>
        <v/>
      </c>
      <c r="AY38" s="14" t="str">
        <f t="shared" si="7"/>
        <v/>
      </c>
      <c r="AZ38" s="14" t="str">
        <f t="shared" si="8"/>
        <v/>
      </c>
      <c r="BE38" s="14"/>
      <c r="BF38" s="14"/>
      <c r="BG38" s="14"/>
      <c r="BL38" s="14" t="str">
        <f t="shared" si="9"/>
        <v/>
      </c>
      <c r="BM38" s="14" t="str">
        <f t="shared" si="10"/>
        <v/>
      </c>
      <c r="BN38" s="14" t="str">
        <f t="shared" si="11"/>
        <v/>
      </c>
      <c r="BS38" s="14"/>
      <c r="BT38" s="14"/>
      <c r="BU38" s="14"/>
      <c r="BZ38" s="14" t="str">
        <f t="shared" si="12"/>
        <v/>
      </c>
      <c r="CA38" s="14" t="str">
        <f t="shared" si="13"/>
        <v/>
      </c>
      <c r="CB38" s="14" t="str">
        <f t="shared" si="14"/>
        <v/>
      </c>
      <c r="CG38" s="14"/>
      <c r="CH38" s="14"/>
      <c r="CI38" s="14"/>
      <c r="CN38" s="14" t="str">
        <f t="shared" si="24"/>
        <v/>
      </c>
      <c r="CO38" s="14" t="str">
        <f t="shared" si="25"/>
        <v/>
      </c>
      <c r="CP38" s="14" t="str">
        <f t="shared" si="26"/>
        <v/>
      </c>
    </row>
    <row r="39" spans="1:94" x14ac:dyDescent="0.25">
      <c r="A39" s="14"/>
      <c r="B39" s="14"/>
      <c r="C39" s="14"/>
      <c r="H39" s="14" t="str">
        <f t="shared" si="0"/>
        <v/>
      </c>
      <c r="I39" s="14" t="str">
        <f t="shared" si="1"/>
        <v/>
      </c>
      <c r="J39" s="14" t="str">
        <f t="shared" si="2"/>
        <v/>
      </c>
      <c r="O39" s="14"/>
      <c r="P39" s="14"/>
      <c r="Q39" s="14"/>
      <c r="V39" s="14" t="str">
        <f t="shared" si="3"/>
        <v/>
      </c>
      <c r="W39" s="14" t="str">
        <f t="shared" si="4"/>
        <v/>
      </c>
      <c r="X39" s="14" t="str">
        <f t="shared" si="5"/>
        <v/>
      </c>
      <c r="AC39" s="14"/>
      <c r="AD39" s="14"/>
      <c r="AE39" s="14"/>
      <c r="AJ39" s="14" t="str">
        <f>IF(AE39="Basic",AF39,"")</f>
        <v/>
      </c>
      <c r="AK39" s="14" t="str">
        <f>IF(AE39="Stage 1",AF39,"")</f>
        <v/>
      </c>
      <c r="AL39" s="14" t="str">
        <f>IF(AE39="Stage 2",AF39,"")</f>
        <v/>
      </c>
      <c r="AX39" s="14" t="str">
        <f t="shared" si="6"/>
        <v/>
      </c>
      <c r="AY39" s="14" t="str">
        <f t="shared" si="7"/>
        <v/>
      </c>
      <c r="AZ39" s="14" t="str">
        <f t="shared" si="8"/>
        <v/>
      </c>
      <c r="BE39" s="14"/>
      <c r="BF39" s="14"/>
      <c r="BG39" s="14"/>
      <c r="BL39" s="14" t="str">
        <f t="shared" si="9"/>
        <v/>
      </c>
      <c r="BM39" s="14" t="str">
        <f t="shared" si="10"/>
        <v/>
      </c>
      <c r="BN39" s="14" t="str">
        <f t="shared" si="11"/>
        <v/>
      </c>
      <c r="BS39" s="14"/>
      <c r="BT39" s="14"/>
      <c r="BU39" s="14"/>
      <c r="BZ39" s="14" t="str">
        <f t="shared" si="12"/>
        <v/>
      </c>
      <c r="CA39" s="14" t="str">
        <f t="shared" si="13"/>
        <v/>
      </c>
      <c r="CB39" s="14" t="str">
        <f t="shared" si="14"/>
        <v/>
      </c>
      <c r="CG39" s="14"/>
      <c r="CH39" s="14"/>
      <c r="CI39" s="14"/>
      <c r="CN39" s="14" t="str">
        <f t="shared" si="24"/>
        <v/>
      </c>
      <c r="CO39" s="14" t="str">
        <f t="shared" si="25"/>
        <v/>
      </c>
      <c r="CP39" s="14" t="str">
        <f t="shared" si="26"/>
        <v/>
      </c>
    </row>
    <row r="41" spans="1:94" x14ac:dyDescent="0.25">
      <c r="H41" s="14">
        <f>IF(C3="Basic",E3,"")</f>
        <v>1</v>
      </c>
      <c r="I41" s="14" t="str">
        <f>IF(C3="Stage 1",E3,"")</f>
        <v/>
      </c>
      <c r="J41" s="14" t="str">
        <f>IF(C3="Stage 2",E3,"")</f>
        <v/>
      </c>
      <c r="V41" s="14">
        <f>IF(Q3="Basic",S3,"")</f>
        <v>1</v>
      </c>
      <c r="W41" s="14" t="str">
        <f>IF(Q3="Stage 1",S3,"")</f>
        <v/>
      </c>
      <c r="X41" s="14" t="str">
        <f>IF(Q3="Stage 2",S3,"")</f>
        <v/>
      </c>
      <c r="AJ41" s="14">
        <f>IF(AE3="Basic",AG3,"")</f>
        <v>1</v>
      </c>
      <c r="AK41" s="14" t="str">
        <f>IF(AE3="Stage 1",AG3,"")</f>
        <v/>
      </c>
      <c r="AL41" s="14" t="str">
        <f>IF(AE3="Stage 2",AG3,"")</f>
        <v/>
      </c>
      <c r="AX41" s="14">
        <f>IF(AS3="Basic",AU3,"")</f>
        <v>1</v>
      </c>
      <c r="AY41" s="14" t="str">
        <f>IF(AS3="Stage 1",AU3,"")</f>
        <v/>
      </c>
      <c r="AZ41" s="14" t="str">
        <f>IF(AS3="Stage 2",AU3,"")</f>
        <v/>
      </c>
      <c r="BL41" s="14">
        <f>IF(BG3="Basic",BI3,"")</f>
        <v>1</v>
      </c>
      <c r="BM41" s="14" t="str">
        <f>IF(BG3="Stage 1",BI3,"")</f>
        <v/>
      </c>
      <c r="BN41" s="14" t="str">
        <f>IF(BG3="Stage 2",BI3,"")</f>
        <v/>
      </c>
      <c r="BZ41" s="14">
        <f>IF(BU3="Basic",BW3,"")</f>
        <v>1</v>
      </c>
      <c r="CA41" s="14" t="str">
        <f>IF(BU3="Stage 1",BW3,"")</f>
        <v/>
      </c>
      <c r="CB41" s="14" t="str">
        <f>IF(BU3="Stage 2",BW3,"")</f>
        <v/>
      </c>
      <c r="CN41" s="14">
        <f>IF(CI3="Basic",CK3,"")</f>
        <v>1</v>
      </c>
      <c r="CO41" s="14" t="str">
        <f>IF(CI3="Stage 1",CK3,"")</f>
        <v/>
      </c>
      <c r="CP41" s="14" t="str">
        <f>IF(CI3="Stage 2",CK3,"")</f>
        <v/>
      </c>
    </row>
    <row r="42" spans="1:94" x14ac:dyDescent="0.25">
      <c r="H42" s="14" t="str">
        <f t="shared" ref="H42:H77" si="27">IF(C4="Basic",E4,"")</f>
        <v/>
      </c>
      <c r="I42" s="14">
        <f t="shared" ref="I42:I77" si="28">IF(C4="Stage 1",E4,"")</f>
        <v>2</v>
      </c>
      <c r="J42" s="14" t="str">
        <f t="shared" ref="J42:J77" si="29">IF(C4="Stage 2",E4,"")</f>
        <v/>
      </c>
      <c r="V42" s="14" t="str">
        <f t="shared" ref="V42:V77" si="30">IF(Q4="Basic",S4,"")</f>
        <v/>
      </c>
      <c r="W42" s="14">
        <f t="shared" ref="W42:W77" si="31">IF(Q4="Stage 1",S4,"")</f>
        <v>2</v>
      </c>
      <c r="X42" s="14" t="str">
        <f t="shared" ref="X42:X77" si="32">IF(Q4="Stage 2",S4,"")</f>
        <v/>
      </c>
      <c r="AJ42" s="14" t="str">
        <f>IF(AE4="Basic",AG4,"")</f>
        <v/>
      </c>
      <c r="AK42" s="14">
        <f>IF(AE4="Stage 1",AG4,"")</f>
        <v>1</v>
      </c>
      <c r="AL42" s="14" t="str">
        <f>IF(AE4="Stage 2",AG4,"")</f>
        <v/>
      </c>
      <c r="AX42" s="14" t="str">
        <f t="shared" ref="AX42:AX77" si="33">IF(AS4="Basic",AU4,"")</f>
        <v/>
      </c>
      <c r="AY42" s="14">
        <f t="shared" ref="AY42:AY77" si="34">IF(AS4="Stage 1",AU4,"")</f>
        <v>1</v>
      </c>
      <c r="AZ42" s="14" t="str">
        <f t="shared" ref="AZ42:AZ77" si="35">IF(AS4="Stage 2",AU4,"")</f>
        <v/>
      </c>
      <c r="BL42" s="14" t="str">
        <f t="shared" ref="BL42:BL77" si="36">IF(BG4="Basic",BI4,"")</f>
        <v/>
      </c>
      <c r="BM42" s="14">
        <f t="shared" ref="BM42:BM77" si="37">IF(BG4="Stage 1",BI4,"")</f>
        <v>2</v>
      </c>
      <c r="BN42" s="14" t="str">
        <f t="shared" ref="BN42:BN77" si="38">IF(BG4="Stage 2",BI4,"")</f>
        <v/>
      </c>
      <c r="BZ42" s="14" t="str">
        <f t="shared" ref="BZ42:BZ77" si="39">IF(BU4="Basic",BW4,"")</f>
        <v/>
      </c>
      <c r="CA42" s="14">
        <f t="shared" ref="CA42:CA77" si="40">IF(BU4="Stage 1",BW4,"")</f>
        <v>1</v>
      </c>
      <c r="CB42" s="14" t="str">
        <f t="shared" ref="CB42:CB77" si="41">IF(BU4="Stage 2",BW4,"")</f>
        <v/>
      </c>
      <c r="CN42" s="14" t="str">
        <f t="shared" ref="CN42:CN77" si="42">IF(CI4="Basic",CK4,"")</f>
        <v/>
      </c>
      <c r="CO42" s="14">
        <f t="shared" ref="CO42:CO77" si="43">IF(CI4="Stage 1",CK4,"")</f>
        <v>2</v>
      </c>
      <c r="CP42" s="14" t="str">
        <f t="shared" ref="CP42:CP77" si="44">IF(CI4="Stage 2",CK4,"")</f>
        <v/>
      </c>
    </row>
    <row r="43" spans="1:94" x14ac:dyDescent="0.25">
      <c r="H43" s="14" t="str">
        <f t="shared" si="27"/>
        <v/>
      </c>
      <c r="I43" s="14" t="str">
        <f t="shared" si="28"/>
        <v/>
      </c>
      <c r="J43" s="14">
        <f t="shared" si="29"/>
        <v>2</v>
      </c>
      <c r="V43" s="14" t="str">
        <f t="shared" si="30"/>
        <v/>
      </c>
      <c r="W43" s="14" t="str">
        <f t="shared" si="31"/>
        <v/>
      </c>
      <c r="X43" s="14">
        <f t="shared" si="32"/>
        <v>3</v>
      </c>
      <c r="AJ43" s="14" t="str">
        <f>IF(AE5="Basic",AG5,"")</f>
        <v/>
      </c>
      <c r="AK43" s="14" t="str">
        <f>IF(AE5="Stage 1",AG5,"")</f>
        <v/>
      </c>
      <c r="AL43" s="14">
        <f>IF(AE5="Stage 2",AG5,"")</f>
        <v>1</v>
      </c>
      <c r="AX43" s="14">
        <f t="shared" si="33"/>
        <v>1</v>
      </c>
      <c r="AY43" s="14" t="str">
        <f t="shared" si="34"/>
        <v/>
      </c>
      <c r="AZ43" s="14" t="str">
        <f t="shared" si="35"/>
        <v/>
      </c>
      <c r="BL43" s="14">
        <f t="shared" si="36"/>
        <v>1</v>
      </c>
      <c r="BM43" s="14" t="str">
        <f t="shared" si="37"/>
        <v/>
      </c>
      <c r="BN43" s="14" t="str">
        <f t="shared" si="38"/>
        <v/>
      </c>
      <c r="BZ43" s="14" t="str">
        <f t="shared" si="39"/>
        <v/>
      </c>
      <c r="CA43" s="14" t="str">
        <f t="shared" si="40"/>
        <v/>
      </c>
      <c r="CB43" s="14">
        <f t="shared" si="41"/>
        <v>2</v>
      </c>
      <c r="CN43" s="14" t="str">
        <f t="shared" si="42"/>
        <v/>
      </c>
      <c r="CO43" s="14" t="str">
        <f t="shared" si="43"/>
        <v/>
      </c>
      <c r="CP43" s="14">
        <f t="shared" si="44"/>
        <v>3</v>
      </c>
    </row>
    <row r="44" spans="1:94" x14ac:dyDescent="0.25">
      <c r="H44" s="14">
        <f t="shared" si="27"/>
        <v>1</v>
      </c>
      <c r="I44" s="14" t="str">
        <f t="shared" si="28"/>
        <v/>
      </c>
      <c r="J44" s="14" t="str">
        <f t="shared" si="29"/>
        <v/>
      </c>
      <c r="V44" s="14">
        <f t="shared" si="30"/>
        <v>1</v>
      </c>
      <c r="W44" s="14" t="str">
        <f t="shared" si="31"/>
        <v/>
      </c>
      <c r="X44" s="14" t="str">
        <f t="shared" si="32"/>
        <v/>
      </c>
      <c r="AJ44" s="14">
        <f>IF(AE6="Basic",AG6,"")</f>
        <v>0</v>
      </c>
      <c r="AK44" s="14" t="str">
        <f>IF(AE6="Stage 1",AG6,"")</f>
        <v/>
      </c>
      <c r="AL44" s="14" t="str">
        <f>IF(AE6="Stage 2",AG6,"")</f>
        <v/>
      </c>
      <c r="AX44" s="14" t="str">
        <f t="shared" si="33"/>
        <v/>
      </c>
      <c r="AY44" s="14">
        <f t="shared" si="34"/>
        <v>1</v>
      </c>
      <c r="AZ44" s="14" t="str">
        <f t="shared" si="35"/>
        <v/>
      </c>
      <c r="BL44" s="14" t="str">
        <f t="shared" si="36"/>
        <v/>
      </c>
      <c r="BM44" s="14">
        <f t="shared" si="37"/>
        <v>2</v>
      </c>
      <c r="BN44" s="14" t="str">
        <f t="shared" si="38"/>
        <v/>
      </c>
      <c r="BZ44" s="14">
        <f t="shared" si="39"/>
        <v>1</v>
      </c>
      <c r="CA44" s="14" t="str">
        <f t="shared" si="40"/>
        <v/>
      </c>
      <c r="CB44" s="14" t="str">
        <f t="shared" si="41"/>
        <v/>
      </c>
      <c r="CN44" s="14">
        <f t="shared" si="42"/>
        <v>1</v>
      </c>
      <c r="CO44" s="14" t="str">
        <f t="shared" si="43"/>
        <v/>
      </c>
      <c r="CP44" s="14" t="str">
        <f t="shared" si="44"/>
        <v/>
      </c>
    </row>
    <row r="45" spans="1:94" x14ac:dyDescent="0.25">
      <c r="H45" s="14">
        <f t="shared" si="27"/>
        <v>1</v>
      </c>
      <c r="I45" s="14" t="str">
        <f t="shared" si="28"/>
        <v/>
      </c>
      <c r="J45" s="14" t="str">
        <f t="shared" si="29"/>
        <v/>
      </c>
      <c r="V45" s="14" t="str">
        <f t="shared" si="30"/>
        <v/>
      </c>
      <c r="W45" s="14">
        <f t="shared" si="31"/>
        <v>1</v>
      </c>
      <c r="X45" s="14" t="str">
        <f t="shared" si="32"/>
        <v/>
      </c>
      <c r="AJ45" s="14" t="str">
        <f>IF(AE7="Basic",AG7,"")</f>
        <v/>
      </c>
      <c r="AK45" s="14">
        <f>IF(AE7="Stage 1",AG7,"")</f>
        <v>1</v>
      </c>
      <c r="AL45" s="14" t="str">
        <f>IF(AE7="Stage 2",AG7,"")</f>
        <v/>
      </c>
      <c r="AX45" s="14">
        <f t="shared" si="33"/>
        <v>2</v>
      </c>
      <c r="AY45" s="14" t="str">
        <f t="shared" si="34"/>
        <v/>
      </c>
      <c r="AZ45" s="14" t="str">
        <f t="shared" si="35"/>
        <v/>
      </c>
      <c r="BL45" s="14">
        <f t="shared" si="36"/>
        <v>1</v>
      </c>
      <c r="BM45" s="14" t="str">
        <f t="shared" si="37"/>
        <v/>
      </c>
      <c r="BN45" s="14" t="str">
        <f t="shared" si="38"/>
        <v/>
      </c>
      <c r="BZ45" s="14" t="str">
        <f t="shared" si="39"/>
        <v/>
      </c>
      <c r="CA45" s="14">
        <f t="shared" si="40"/>
        <v>1</v>
      </c>
      <c r="CB45" s="14" t="str">
        <f t="shared" si="41"/>
        <v/>
      </c>
      <c r="CN45" s="14" t="str">
        <f t="shared" si="42"/>
        <v/>
      </c>
      <c r="CO45" s="14">
        <f t="shared" si="43"/>
        <v>2</v>
      </c>
      <c r="CP45" s="14" t="str">
        <f t="shared" si="44"/>
        <v/>
      </c>
    </row>
    <row r="46" spans="1:94" x14ac:dyDescent="0.25">
      <c r="H46" s="14" t="str">
        <f t="shared" si="27"/>
        <v/>
      </c>
      <c r="I46" s="14">
        <f t="shared" si="28"/>
        <v>2</v>
      </c>
      <c r="J46" s="14" t="str">
        <f t="shared" si="29"/>
        <v/>
      </c>
      <c r="V46" s="14" t="str">
        <f t="shared" si="30"/>
        <v/>
      </c>
      <c r="W46" s="14" t="str">
        <f t="shared" si="31"/>
        <v/>
      </c>
      <c r="X46" s="14">
        <f t="shared" si="32"/>
        <v>2</v>
      </c>
      <c r="AJ46" s="14">
        <f t="shared" ref="AJ46:AJ73" si="45">IF(AE8="Basic",AG8,"")</f>
        <v>1</v>
      </c>
      <c r="AK46" s="14" t="str">
        <f t="shared" ref="AK46:AK73" si="46">IF(AE8="Stage 1",AG8,"")</f>
        <v/>
      </c>
      <c r="AL46" s="14" t="str">
        <f t="shared" ref="AL46:AL73" si="47">IF(AE8="Stage 2",AG8,"")</f>
        <v/>
      </c>
      <c r="AX46" s="14">
        <f t="shared" si="33"/>
        <v>1</v>
      </c>
      <c r="AY46" s="14" t="str">
        <f t="shared" si="34"/>
        <v/>
      </c>
      <c r="AZ46" s="14" t="str">
        <f t="shared" si="35"/>
        <v/>
      </c>
      <c r="BL46" s="14" t="str">
        <f t="shared" si="36"/>
        <v/>
      </c>
      <c r="BM46" s="14">
        <f t="shared" si="37"/>
        <v>2</v>
      </c>
      <c r="BN46" s="14" t="str">
        <f t="shared" si="38"/>
        <v/>
      </c>
      <c r="BZ46" s="14">
        <f t="shared" si="39"/>
        <v>0</v>
      </c>
      <c r="CA46" s="14" t="str">
        <f t="shared" si="40"/>
        <v/>
      </c>
      <c r="CB46" s="14" t="str">
        <f t="shared" si="41"/>
        <v/>
      </c>
      <c r="CN46" s="14">
        <f t="shared" si="42"/>
        <v>1</v>
      </c>
      <c r="CO46" s="14" t="str">
        <f t="shared" si="43"/>
        <v/>
      </c>
      <c r="CP46" s="14" t="str">
        <f t="shared" si="44"/>
        <v/>
      </c>
    </row>
    <row r="47" spans="1:94" x14ac:dyDescent="0.25">
      <c r="H47" s="14" t="str">
        <f t="shared" si="27"/>
        <v/>
      </c>
      <c r="I47" s="14" t="str">
        <f t="shared" si="28"/>
        <v/>
      </c>
      <c r="J47" s="14">
        <f t="shared" si="29"/>
        <v>0</v>
      </c>
      <c r="V47" s="14">
        <f t="shared" si="30"/>
        <v>1</v>
      </c>
      <c r="W47" s="14" t="str">
        <f t="shared" si="31"/>
        <v/>
      </c>
      <c r="X47" s="14" t="str">
        <f t="shared" si="32"/>
        <v/>
      </c>
      <c r="AJ47" s="14">
        <f t="shared" si="45"/>
        <v>1</v>
      </c>
      <c r="AK47" s="14" t="str">
        <f t="shared" si="46"/>
        <v/>
      </c>
      <c r="AL47" s="14" t="str">
        <f t="shared" si="47"/>
        <v/>
      </c>
      <c r="AX47" s="14" t="str">
        <f t="shared" si="33"/>
        <v/>
      </c>
      <c r="AY47" s="14">
        <f t="shared" si="34"/>
        <v>1</v>
      </c>
      <c r="AZ47" s="14" t="str">
        <f t="shared" si="35"/>
        <v/>
      </c>
      <c r="BL47" s="14" t="str">
        <f t="shared" si="36"/>
        <v/>
      </c>
      <c r="BM47" s="14" t="str">
        <f t="shared" si="37"/>
        <v/>
      </c>
      <c r="BN47" s="14">
        <f t="shared" si="38"/>
        <v>3</v>
      </c>
      <c r="BZ47" s="14" t="str">
        <f t="shared" si="39"/>
        <v/>
      </c>
      <c r="CA47" s="14">
        <f t="shared" si="40"/>
        <v>2</v>
      </c>
      <c r="CB47" s="14" t="str">
        <f t="shared" si="41"/>
        <v/>
      </c>
      <c r="CN47" s="14" t="str">
        <f t="shared" si="42"/>
        <v/>
      </c>
      <c r="CO47" s="14">
        <f t="shared" si="43"/>
        <v>1</v>
      </c>
      <c r="CP47" s="14" t="str">
        <f t="shared" si="44"/>
        <v/>
      </c>
    </row>
    <row r="48" spans="1:94" x14ac:dyDescent="0.25">
      <c r="H48" s="14">
        <f t="shared" si="27"/>
        <v>0</v>
      </c>
      <c r="I48" s="14" t="str">
        <f t="shared" si="28"/>
        <v/>
      </c>
      <c r="J48" s="14" t="str">
        <f t="shared" si="29"/>
        <v/>
      </c>
      <c r="V48" s="14" t="str">
        <f t="shared" si="30"/>
        <v/>
      </c>
      <c r="W48" s="14">
        <f t="shared" si="31"/>
        <v>2</v>
      </c>
      <c r="X48" s="14" t="str">
        <f t="shared" si="32"/>
        <v/>
      </c>
      <c r="AJ48" s="14" t="str">
        <f t="shared" si="45"/>
        <v/>
      </c>
      <c r="AK48" s="14">
        <f t="shared" si="46"/>
        <v>2</v>
      </c>
      <c r="AL48" s="14" t="str">
        <f t="shared" si="47"/>
        <v/>
      </c>
      <c r="AX48" s="14" t="str">
        <f t="shared" si="33"/>
        <v/>
      </c>
      <c r="AY48" s="14" t="str">
        <f t="shared" si="34"/>
        <v/>
      </c>
      <c r="AZ48" s="14">
        <f t="shared" si="35"/>
        <v>1</v>
      </c>
      <c r="BL48" s="14">
        <f t="shared" si="36"/>
        <v>1</v>
      </c>
      <c r="BM48" s="14" t="str">
        <f t="shared" si="37"/>
        <v/>
      </c>
      <c r="BN48" s="14" t="str">
        <f t="shared" si="38"/>
        <v/>
      </c>
      <c r="BZ48" s="14" t="str">
        <f t="shared" si="39"/>
        <v/>
      </c>
      <c r="CA48" s="14" t="str">
        <f t="shared" si="40"/>
        <v/>
      </c>
      <c r="CB48" s="14">
        <f t="shared" si="41"/>
        <v>3</v>
      </c>
      <c r="CN48" s="14" t="str">
        <f t="shared" si="42"/>
        <v/>
      </c>
      <c r="CO48" s="14">
        <f t="shared" si="43"/>
        <v>1</v>
      </c>
      <c r="CP48" s="14" t="str">
        <f t="shared" si="44"/>
        <v/>
      </c>
    </row>
    <row r="49" spans="8:94" x14ac:dyDescent="0.25">
      <c r="H49" s="14" t="str">
        <f t="shared" si="27"/>
        <v/>
      </c>
      <c r="I49" s="14">
        <f t="shared" si="28"/>
        <v>1</v>
      </c>
      <c r="J49" s="14" t="str">
        <f t="shared" si="29"/>
        <v/>
      </c>
      <c r="V49" s="14">
        <f t="shared" si="30"/>
        <v>2</v>
      </c>
      <c r="W49" s="14" t="str">
        <f t="shared" si="31"/>
        <v/>
      </c>
      <c r="X49" s="14" t="str">
        <f t="shared" si="32"/>
        <v/>
      </c>
      <c r="AJ49" s="14" t="str">
        <f t="shared" si="45"/>
        <v/>
      </c>
      <c r="AK49" s="14" t="str">
        <f t="shared" si="46"/>
        <v/>
      </c>
      <c r="AL49" s="14">
        <f t="shared" si="47"/>
        <v>3</v>
      </c>
      <c r="AX49" s="14">
        <f t="shared" si="33"/>
        <v>0</v>
      </c>
      <c r="AY49" s="14" t="str">
        <f t="shared" si="34"/>
        <v/>
      </c>
      <c r="AZ49" s="14" t="str">
        <f t="shared" si="35"/>
        <v/>
      </c>
      <c r="BL49" s="14" t="str">
        <f t="shared" si="36"/>
        <v/>
      </c>
      <c r="BM49" s="14">
        <f t="shared" si="37"/>
        <v>2</v>
      </c>
      <c r="BN49" s="14" t="str">
        <f t="shared" si="38"/>
        <v/>
      </c>
      <c r="BZ49" s="14">
        <f t="shared" si="39"/>
        <v>1</v>
      </c>
      <c r="CA49" s="14" t="str">
        <f t="shared" si="40"/>
        <v/>
      </c>
      <c r="CB49" s="14" t="str">
        <f t="shared" si="41"/>
        <v/>
      </c>
      <c r="CN49" s="14" t="str">
        <f t="shared" si="42"/>
        <v/>
      </c>
      <c r="CO49" s="14" t="str">
        <f t="shared" si="43"/>
        <v/>
      </c>
      <c r="CP49" s="14">
        <f t="shared" si="44"/>
        <v>0</v>
      </c>
    </row>
    <row r="50" spans="8:94" x14ac:dyDescent="0.25">
      <c r="H50" s="14" t="str">
        <f t="shared" si="27"/>
        <v/>
      </c>
      <c r="I50" s="14" t="str">
        <f t="shared" si="28"/>
        <v/>
      </c>
      <c r="J50" s="14">
        <f t="shared" si="29"/>
        <v>1</v>
      </c>
      <c r="V50" s="14" t="str">
        <f t="shared" si="30"/>
        <v/>
      </c>
      <c r="W50" s="14">
        <f t="shared" si="31"/>
        <v>2</v>
      </c>
      <c r="X50" s="14" t="str">
        <f t="shared" si="32"/>
        <v/>
      </c>
      <c r="AJ50" s="14">
        <f t="shared" si="45"/>
        <v>1</v>
      </c>
      <c r="AK50" s="14" t="str">
        <f t="shared" si="46"/>
        <v/>
      </c>
      <c r="AL50" s="14" t="str">
        <f t="shared" si="47"/>
        <v/>
      </c>
      <c r="AX50" s="14">
        <f t="shared" si="33"/>
        <v>0</v>
      </c>
      <c r="AY50" s="14" t="str">
        <f t="shared" si="34"/>
        <v/>
      </c>
      <c r="AZ50" s="14" t="str">
        <f t="shared" si="35"/>
        <v/>
      </c>
      <c r="BL50" s="14">
        <f t="shared" si="36"/>
        <v>0</v>
      </c>
      <c r="BM50" s="14" t="str">
        <f t="shared" si="37"/>
        <v/>
      </c>
      <c r="BN50" s="14" t="str">
        <f t="shared" si="38"/>
        <v/>
      </c>
      <c r="BZ50" s="14" t="str">
        <f t="shared" si="39"/>
        <v/>
      </c>
      <c r="CA50" s="14">
        <f t="shared" si="40"/>
        <v>1</v>
      </c>
      <c r="CB50" s="14" t="str">
        <f t="shared" si="41"/>
        <v/>
      </c>
      <c r="CN50" s="14">
        <f t="shared" si="42"/>
        <v>2</v>
      </c>
      <c r="CO50" s="14" t="str">
        <f t="shared" si="43"/>
        <v/>
      </c>
      <c r="CP50" s="14" t="str">
        <f t="shared" si="44"/>
        <v/>
      </c>
    </row>
    <row r="51" spans="8:94" x14ac:dyDescent="0.25">
      <c r="H51" s="14">
        <f t="shared" si="27"/>
        <v>2</v>
      </c>
      <c r="I51" s="14" t="str">
        <f t="shared" si="28"/>
        <v/>
      </c>
      <c r="J51" s="14" t="str">
        <f t="shared" si="29"/>
        <v/>
      </c>
      <c r="V51" s="14">
        <f t="shared" si="30"/>
        <v>1</v>
      </c>
      <c r="W51" s="14" t="str">
        <f t="shared" si="31"/>
        <v/>
      </c>
      <c r="X51" s="14" t="str">
        <f t="shared" si="32"/>
        <v/>
      </c>
      <c r="AJ51" s="14" t="str">
        <f t="shared" si="45"/>
        <v/>
      </c>
      <c r="AK51" s="14">
        <f t="shared" si="46"/>
        <v>2</v>
      </c>
      <c r="AL51" s="14" t="str">
        <f t="shared" si="47"/>
        <v/>
      </c>
      <c r="AX51" s="14">
        <f t="shared" si="33"/>
        <v>1</v>
      </c>
      <c r="AY51" s="14" t="str">
        <f t="shared" si="34"/>
        <v/>
      </c>
      <c r="AZ51" s="14" t="str">
        <f t="shared" si="35"/>
        <v/>
      </c>
      <c r="BL51" s="14">
        <f t="shared" si="36"/>
        <v>2</v>
      </c>
      <c r="BM51" s="14" t="str">
        <f t="shared" si="37"/>
        <v/>
      </c>
      <c r="BN51" s="14" t="str">
        <f t="shared" si="38"/>
        <v/>
      </c>
      <c r="BZ51" s="14">
        <f t="shared" si="39"/>
        <v>2</v>
      </c>
      <c r="CA51" s="14" t="str">
        <f t="shared" si="40"/>
        <v/>
      </c>
      <c r="CB51" s="14" t="str">
        <f t="shared" si="41"/>
        <v/>
      </c>
      <c r="CN51" s="14" t="str">
        <f t="shared" si="42"/>
        <v/>
      </c>
      <c r="CO51" s="14">
        <f t="shared" si="43"/>
        <v>3</v>
      </c>
      <c r="CP51" s="14" t="str">
        <f t="shared" si="44"/>
        <v/>
      </c>
    </row>
    <row r="52" spans="8:94" x14ac:dyDescent="0.25">
      <c r="H52" s="14" t="str">
        <f t="shared" si="27"/>
        <v/>
      </c>
      <c r="I52" s="14">
        <f t="shared" si="28"/>
        <v>0</v>
      </c>
      <c r="J52" s="14" t="str">
        <f t="shared" si="29"/>
        <v/>
      </c>
      <c r="V52" s="14" t="str">
        <f t="shared" si="30"/>
        <v/>
      </c>
      <c r="W52" s="14">
        <f t="shared" si="31"/>
        <v>2</v>
      </c>
      <c r="X52" s="14" t="str">
        <f t="shared" si="32"/>
        <v/>
      </c>
      <c r="AJ52" s="14">
        <f t="shared" si="45"/>
        <v>1</v>
      </c>
      <c r="AK52" s="14" t="str">
        <f t="shared" si="46"/>
        <v/>
      </c>
      <c r="AL52" s="14" t="str">
        <f t="shared" si="47"/>
        <v/>
      </c>
      <c r="AX52" s="14" t="str">
        <f t="shared" si="33"/>
        <v/>
      </c>
      <c r="AY52" s="14">
        <f t="shared" si="34"/>
        <v>2</v>
      </c>
      <c r="AZ52" s="14" t="str">
        <f t="shared" si="35"/>
        <v/>
      </c>
      <c r="BL52" s="14">
        <f t="shared" si="36"/>
        <v>1</v>
      </c>
      <c r="BM52" s="14" t="str">
        <f t="shared" si="37"/>
        <v/>
      </c>
      <c r="BN52" s="14" t="str">
        <f t="shared" si="38"/>
        <v/>
      </c>
      <c r="BZ52" s="14" t="str">
        <f t="shared" si="39"/>
        <v/>
      </c>
      <c r="CA52" s="14">
        <f t="shared" si="40"/>
        <v>1</v>
      </c>
      <c r="CB52" s="14" t="str">
        <f t="shared" si="41"/>
        <v/>
      </c>
      <c r="CN52" s="14">
        <f t="shared" si="42"/>
        <v>0</v>
      </c>
      <c r="CO52" s="14" t="str">
        <f t="shared" si="43"/>
        <v/>
      </c>
      <c r="CP52" s="14" t="str">
        <f t="shared" si="44"/>
        <v/>
      </c>
    </row>
    <row r="53" spans="8:94" x14ac:dyDescent="0.25">
      <c r="H53" s="14">
        <f t="shared" si="27"/>
        <v>1</v>
      </c>
      <c r="I53" s="14" t="str">
        <f t="shared" si="28"/>
        <v/>
      </c>
      <c r="J53" s="14" t="str">
        <f t="shared" si="29"/>
        <v/>
      </c>
      <c r="V53" s="14">
        <f t="shared" si="30"/>
        <v>1</v>
      </c>
      <c r="W53" s="14" t="str">
        <f t="shared" si="31"/>
        <v/>
      </c>
      <c r="X53" s="14" t="str">
        <f t="shared" si="32"/>
        <v/>
      </c>
      <c r="AJ53" s="14" t="str">
        <f t="shared" si="45"/>
        <v/>
      </c>
      <c r="AK53" s="14">
        <f t="shared" si="46"/>
        <v>2</v>
      </c>
      <c r="AL53" s="14" t="str">
        <f t="shared" si="47"/>
        <v/>
      </c>
      <c r="AX53" s="14">
        <f t="shared" si="33"/>
        <v>1</v>
      </c>
      <c r="AY53" s="14" t="str">
        <f t="shared" si="34"/>
        <v/>
      </c>
      <c r="AZ53" s="14" t="str">
        <f t="shared" si="35"/>
        <v/>
      </c>
      <c r="BL53" s="14">
        <f t="shared" si="36"/>
        <v>1</v>
      </c>
      <c r="BM53" s="14" t="str">
        <f t="shared" si="37"/>
        <v/>
      </c>
      <c r="BN53" s="14" t="str">
        <f t="shared" si="38"/>
        <v/>
      </c>
      <c r="BZ53" s="14">
        <f t="shared" si="39"/>
        <v>1</v>
      </c>
      <c r="CA53" s="14" t="str">
        <f t="shared" si="40"/>
        <v/>
      </c>
      <c r="CB53" s="14" t="str">
        <f t="shared" si="41"/>
        <v/>
      </c>
      <c r="CN53" s="14" t="str">
        <f t="shared" si="42"/>
        <v/>
      </c>
      <c r="CO53" s="14">
        <f t="shared" si="43"/>
        <v>0</v>
      </c>
      <c r="CP53" s="14" t="str">
        <f t="shared" si="44"/>
        <v/>
      </c>
    </row>
    <row r="54" spans="8:94" x14ac:dyDescent="0.25">
      <c r="H54" s="14">
        <f t="shared" si="27"/>
        <v>1</v>
      </c>
      <c r="I54" s="14" t="str">
        <f t="shared" si="28"/>
        <v/>
      </c>
      <c r="J54" s="14" t="str">
        <f t="shared" si="29"/>
        <v/>
      </c>
      <c r="V54" s="14" t="str">
        <f t="shared" si="30"/>
        <v/>
      </c>
      <c r="W54" s="14">
        <f t="shared" si="31"/>
        <v>2</v>
      </c>
      <c r="X54" s="14" t="str">
        <f t="shared" si="32"/>
        <v/>
      </c>
      <c r="AJ54" s="14">
        <f t="shared" si="45"/>
        <v>1</v>
      </c>
      <c r="AK54" s="14" t="str">
        <f t="shared" si="46"/>
        <v/>
      </c>
      <c r="AL54" s="14" t="str">
        <f t="shared" si="47"/>
        <v/>
      </c>
      <c r="AX54" s="14" t="str">
        <f t="shared" si="33"/>
        <v/>
      </c>
      <c r="AY54" s="14">
        <f t="shared" si="34"/>
        <v>1</v>
      </c>
      <c r="AZ54" s="14" t="str">
        <f t="shared" si="35"/>
        <v/>
      </c>
      <c r="BL54" s="14">
        <f t="shared" si="36"/>
        <v>1</v>
      </c>
      <c r="BM54" s="14" t="str">
        <f t="shared" si="37"/>
        <v/>
      </c>
      <c r="BN54" s="14" t="str">
        <f t="shared" si="38"/>
        <v/>
      </c>
      <c r="BZ54" s="14" t="str">
        <f t="shared" si="39"/>
        <v/>
      </c>
      <c r="CA54" s="14">
        <f t="shared" si="40"/>
        <v>2</v>
      </c>
      <c r="CB54" s="14" t="str">
        <f t="shared" si="41"/>
        <v/>
      </c>
      <c r="CN54" s="14" t="str">
        <f t="shared" si="42"/>
        <v/>
      </c>
      <c r="CO54" s="14" t="str">
        <f t="shared" si="43"/>
        <v/>
      </c>
      <c r="CP54" s="14">
        <f t="shared" si="44"/>
        <v>0</v>
      </c>
    </row>
    <row r="55" spans="8:94" x14ac:dyDescent="0.25">
      <c r="H55" s="14">
        <f t="shared" si="27"/>
        <v>1</v>
      </c>
      <c r="I55" s="14" t="str">
        <f t="shared" si="28"/>
        <v/>
      </c>
      <c r="J55" s="14" t="str">
        <f t="shared" si="29"/>
        <v/>
      </c>
      <c r="V55" s="14" t="str">
        <f t="shared" si="30"/>
        <v/>
      </c>
      <c r="W55" s="14">
        <f t="shared" si="31"/>
        <v>1</v>
      </c>
      <c r="X55" s="14" t="str">
        <f t="shared" si="32"/>
        <v/>
      </c>
      <c r="AJ55" s="14" t="str">
        <f t="shared" si="45"/>
        <v/>
      </c>
      <c r="AK55" s="14">
        <f t="shared" si="46"/>
        <v>2</v>
      </c>
      <c r="AL55" s="14" t="str">
        <f t="shared" si="47"/>
        <v/>
      </c>
      <c r="AX55" s="14" t="str">
        <f t="shared" si="33"/>
        <v/>
      </c>
      <c r="AY55" s="14" t="str">
        <f t="shared" si="34"/>
        <v/>
      </c>
      <c r="AZ55" s="14">
        <f t="shared" si="35"/>
        <v>2</v>
      </c>
      <c r="BL55" s="14" t="str">
        <f t="shared" si="36"/>
        <v/>
      </c>
      <c r="BM55" s="14">
        <f t="shared" si="37"/>
        <v>1</v>
      </c>
      <c r="BN55" s="14" t="str">
        <f t="shared" si="38"/>
        <v/>
      </c>
      <c r="BZ55" s="14" t="str">
        <f t="shared" si="39"/>
        <v/>
      </c>
      <c r="CA55" s="14" t="str">
        <f t="shared" si="40"/>
        <v/>
      </c>
      <c r="CB55" s="14">
        <f t="shared" si="41"/>
        <v>2</v>
      </c>
      <c r="CN55" s="14">
        <f t="shared" si="42"/>
        <v>0</v>
      </c>
      <c r="CO55" s="14" t="str">
        <f t="shared" si="43"/>
        <v/>
      </c>
      <c r="CP55" s="14" t="str">
        <f t="shared" si="44"/>
        <v/>
      </c>
    </row>
    <row r="56" spans="8:94" x14ac:dyDescent="0.25">
      <c r="H56" s="14" t="str">
        <f t="shared" si="27"/>
        <v/>
      </c>
      <c r="I56" s="14">
        <f t="shared" si="28"/>
        <v>2</v>
      </c>
      <c r="J56" s="14" t="str">
        <f t="shared" si="29"/>
        <v/>
      </c>
      <c r="V56" s="14">
        <f t="shared" si="30"/>
        <v>3</v>
      </c>
      <c r="W56" s="14" t="str">
        <f t="shared" si="31"/>
        <v/>
      </c>
      <c r="X56" s="14" t="str">
        <f t="shared" si="32"/>
        <v/>
      </c>
      <c r="AJ56" s="14">
        <f t="shared" si="45"/>
        <v>1</v>
      </c>
      <c r="AK56" s="14" t="str">
        <f t="shared" si="46"/>
        <v/>
      </c>
      <c r="AL56" s="14" t="str">
        <f t="shared" si="47"/>
        <v/>
      </c>
      <c r="AX56" s="14">
        <f t="shared" si="33"/>
        <v>1</v>
      </c>
      <c r="AY56" s="14" t="str">
        <f t="shared" si="34"/>
        <v/>
      </c>
      <c r="AZ56" s="14" t="str">
        <f t="shared" si="35"/>
        <v/>
      </c>
      <c r="BL56" s="14" t="str">
        <f t="shared" si="36"/>
        <v/>
      </c>
      <c r="BM56" s="14" t="str">
        <f t="shared" si="37"/>
        <v/>
      </c>
      <c r="BN56" s="14">
        <f t="shared" si="38"/>
        <v>1</v>
      </c>
      <c r="BZ56" s="14">
        <f t="shared" si="39"/>
        <v>2</v>
      </c>
      <c r="CA56" s="14" t="str">
        <f t="shared" si="40"/>
        <v/>
      </c>
      <c r="CB56" s="14" t="str">
        <f t="shared" si="41"/>
        <v/>
      </c>
      <c r="CN56" s="14" t="str">
        <f t="shared" si="42"/>
        <v/>
      </c>
      <c r="CO56" s="14">
        <f t="shared" si="43"/>
        <v>1</v>
      </c>
      <c r="CP56" s="14" t="str">
        <f t="shared" si="44"/>
        <v/>
      </c>
    </row>
    <row r="57" spans="8:94" x14ac:dyDescent="0.25">
      <c r="H57" s="14">
        <f t="shared" si="27"/>
        <v>1</v>
      </c>
      <c r="I57" s="14" t="str">
        <f t="shared" si="28"/>
        <v/>
      </c>
      <c r="J57" s="14" t="str">
        <f t="shared" si="29"/>
        <v/>
      </c>
      <c r="V57" s="14">
        <f t="shared" si="30"/>
        <v>2</v>
      </c>
      <c r="W57" s="14" t="str">
        <f t="shared" si="31"/>
        <v/>
      </c>
      <c r="X57" s="14" t="str">
        <f t="shared" si="32"/>
        <v/>
      </c>
      <c r="AJ57" s="14" t="str">
        <f t="shared" si="45"/>
        <v/>
      </c>
      <c r="AK57" s="14">
        <f t="shared" si="46"/>
        <v>1</v>
      </c>
      <c r="AL57" s="14" t="str">
        <f t="shared" si="47"/>
        <v/>
      </c>
      <c r="AX57" s="14" t="str">
        <f t="shared" si="33"/>
        <v/>
      </c>
      <c r="AY57" s="14">
        <f t="shared" si="34"/>
        <v>1</v>
      </c>
      <c r="AZ57" s="14" t="str">
        <f t="shared" si="35"/>
        <v/>
      </c>
      <c r="BL57" s="14">
        <f t="shared" si="36"/>
        <v>1</v>
      </c>
      <c r="BM57" s="14" t="str">
        <f t="shared" si="37"/>
        <v/>
      </c>
      <c r="BN57" s="14" t="str">
        <f t="shared" si="38"/>
        <v/>
      </c>
      <c r="BZ57" s="14">
        <f t="shared" si="39"/>
        <v>1</v>
      </c>
      <c r="CA57" s="14" t="str">
        <f t="shared" si="40"/>
        <v/>
      </c>
      <c r="CB57" s="14" t="str">
        <f t="shared" si="41"/>
        <v/>
      </c>
      <c r="CN57" s="14" t="str">
        <f t="shared" si="42"/>
        <v/>
      </c>
      <c r="CO57" s="14">
        <f t="shared" si="43"/>
        <v>1</v>
      </c>
      <c r="CP57" s="14" t="str">
        <f t="shared" si="44"/>
        <v/>
      </c>
    </row>
    <row r="58" spans="8:94" x14ac:dyDescent="0.25">
      <c r="H58" s="14" t="str">
        <f t="shared" si="27"/>
        <v/>
      </c>
      <c r="I58" s="14">
        <f t="shared" si="28"/>
        <v>1</v>
      </c>
      <c r="J58" s="14" t="str">
        <f t="shared" si="29"/>
        <v/>
      </c>
      <c r="V58" s="14">
        <f t="shared" si="30"/>
        <v>1</v>
      </c>
      <c r="W58" s="14" t="str">
        <f t="shared" si="31"/>
        <v/>
      </c>
      <c r="X58" s="14" t="str">
        <f t="shared" si="32"/>
        <v/>
      </c>
      <c r="AJ58" s="14" t="str">
        <f t="shared" si="45"/>
        <v/>
      </c>
      <c r="AK58" s="14" t="str">
        <f t="shared" si="46"/>
        <v/>
      </c>
      <c r="AL58" s="14">
        <f t="shared" si="47"/>
        <v>1</v>
      </c>
      <c r="AX58" s="14">
        <f t="shared" si="33"/>
        <v>0</v>
      </c>
      <c r="AY58" s="14" t="str">
        <f t="shared" si="34"/>
        <v/>
      </c>
      <c r="AZ58" s="14" t="str">
        <f t="shared" si="35"/>
        <v/>
      </c>
      <c r="BL58" s="14">
        <f t="shared" si="36"/>
        <v>1</v>
      </c>
      <c r="BM58" s="14" t="str">
        <f t="shared" si="37"/>
        <v/>
      </c>
      <c r="BN58" s="14" t="str">
        <f t="shared" si="38"/>
        <v/>
      </c>
      <c r="BZ58" s="14">
        <f t="shared" si="39"/>
        <v>1</v>
      </c>
      <c r="CA58" s="14" t="str">
        <f t="shared" si="40"/>
        <v/>
      </c>
      <c r="CB58" s="14" t="str">
        <f t="shared" si="41"/>
        <v/>
      </c>
      <c r="CN58" s="14">
        <f t="shared" si="42"/>
        <v>2</v>
      </c>
      <c r="CO58" s="14" t="str">
        <f t="shared" si="43"/>
        <v/>
      </c>
      <c r="CP58" s="14" t="str">
        <f t="shared" si="44"/>
        <v/>
      </c>
    </row>
    <row r="59" spans="8:94" x14ac:dyDescent="0.25">
      <c r="H59" s="14" t="str">
        <f t="shared" si="27"/>
        <v/>
      </c>
      <c r="I59" s="14">
        <f t="shared" si="28"/>
        <v>2</v>
      </c>
      <c r="J59" s="14" t="str">
        <f t="shared" si="29"/>
        <v/>
      </c>
      <c r="V59" s="14" t="str">
        <f t="shared" si="30"/>
        <v/>
      </c>
      <c r="W59" s="14">
        <f t="shared" si="31"/>
        <v>2</v>
      </c>
      <c r="X59" s="14" t="str">
        <f t="shared" si="32"/>
        <v/>
      </c>
      <c r="AJ59" s="14">
        <f t="shared" si="45"/>
        <v>1</v>
      </c>
      <c r="AK59" s="14" t="str">
        <f t="shared" si="46"/>
        <v/>
      </c>
      <c r="AL59" s="14" t="str">
        <f t="shared" si="47"/>
        <v/>
      </c>
      <c r="AX59" s="14">
        <f t="shared" si="33"/>
        <v>2</v>
      </c>
      <c r="AY59" s="14" t="str">
        <f t="shared" si="34"/>
        <v/>
      </c>
      <c r="AZ59" s="14" t="str">
        <f t="shared" si="35"/>
        <v/>
      </c>
      <c r="BL59" s="14" t="str">
        <f t="shared" si="36"/>
        <v/>
      </c>
      <c r="BM59" s="14">
        <f t="shared" si="37"/>
        <v>2</v>
      </c>
      <c r="BN59" s="14" t="str">
        <f t="shared" si="38"/>
        <v/>
      </c>
      <c r="BZ59" s="14">
        <f t="shared" si="39"/>
        <v>1</v>
      </c>
      <c r="CA59" s="14" t="str">
        <f t="shared" si="40"/>
        <v/>
      </c>
      <c r="CB59" s="14" t="str">
        <f t="shared" si="41"/>
        <v/>
      </c>
      <c r="CN59" s="14" t="str">
        <f t="shared" si="42"/>
        <v/>
      </c>
      <c r="CO59" s="14">
        <f t="shared" si="43"/>
        <v>3</v>
      </c>
      <c r="CP59" s="14" t="str">
        <f t="shared" si="44"/>
        <v/>
      </c>
    </row>
    <row r="60" spans="8:94" x14ac:dyDescent="0.25">
      <c r="H60" s="14">
        <f t="shared" si="27"/>
        <v>1</v>
      </c>
      <c r="I60" s="14" t="str">
        <f t="shared" si="28"/>
        <v/>
      </c>
      <c r="J60" s="14" t="str">
        <f t="shared" si="29"/>
        <v/>
      </c>
      <c r="V60" s="14" t="str">
        <f t="shared" si="30"/>
        <v/>
      </c>
      <c r="W60" s="14" t="str">
        <f t="shared" si="31"/>
        <v/>
      </c>
      <c r="X60" s="14">
        <f t="shared" si="32"/>
        <v>3</v>
      </c>
      <c r="AJ60" s="14" t="str">
        <f t="shared" si="45"/>
        <v/>
      </c>
      <c r="AK60" s="14">
        <f t="shared" si="46"/>
        <v>2</v>
      </c>
      <c r="AL60" s="14" t="str">
        <f t="shared" si="47"/>
        <v/>
      </c>
      <c r="AX60" s="14" t="str">
        <f t="shared" si="33"/>
        <v/>
      </c>
      <c r="AY60" s="14">
        <f t="shared" si="34"/>
        <v>3</v>
      </c>
      <c r="AZ60" s="14" t="str">
        <f t="shared" si="35"/>
        <v/>
      </c>
      <c r="BL60" s="14" t="str">
        <f t="shared" si="36"/>
        <v/>
      </c>
      <c r="BM60" s="14" t="str">
        <f t="shared" si="37"/>
        <v/>
      </c>
      <c r="BN60" s="14">
        <f t="shared" si="38"/>
        <v>4</v>
      </c>
      <c r="BZ60" s="14">
        <f t="shared" si="39"/>
        <v>1</v>
      </c>
      <c r="CA60" s="14" t="str">
        <f t="shared" si="40"/>
        <v/>
      </c>
      <c r="CB60" s="14" t="str">
        <f t="shared" si="41"/>
        <v/>
      </c>
      <c r="CN60" s="14">
        <f t="shared" si="42"/>
        <v>1</v>
      </c>
      <c r="CO60" s="14" t="str">
        <f t="shared" si="43"/>
        <v/>
      </c>
      <c r="CP60" s="14" t="str">
        <f t="shared" si="44"/>
        <v/>
      </c>
    </row>
    <row r="61" spans="8:94" x14ac:dyDescent="0.25">
      <c r="H61" s="14" t="str">
        <f t="shared" si="27"/>
        <v/>
      </c>
      <c r="I61" s="14">
        <f t="shared" si="28"/>
        <v>1</v>
      </c>
      <c r="J61" s="14" t="str">
        <f t="shared" si="29"/>
        <v/>
      </c>
      <c r="V61" s="14">
        <f t="shared" si="30"/>
        <v>1</v>
      </c>
      <c r="W61" s="14" t="str">
        <f t="shared" si="31"/>
        <v/>
      </c>
      <c r="X61" s="14" t="str">
        <f t="shared" si="32"/>
        <v/>
      </c>
      <c r="AJ61" s="14">
        <f t="shared" si="45"/>
        <v>1</v>
      </c>
      <c r="AK61" s="14" t="str">
        <f t="shared" si="46"/>
        <v/>
      </c>
      <c r="AL61" s="14" t="str">
        <f t="shared" si="47"/>
        <v/>
      </c>
      <c r="AX61" s="14">
        <f t="shared" si="33"/>
        <v>1</v>
      </c>
      <c r="AY61" s="14" t="str">
        <f t="shared" si="34"/>
        <v/>
      </c>
      <c r="AZ61" s="14" t="str">
        <f t="shared" si="35"/>
        <v/>
      </c>
      <c r="BL61" s="14">
        <f t="shared" si="36"/>
        <v>2</v>
      </c>
      <c r="BM61" s="14" t="str">
        <f t="shared" si="37"/>
        <v/>
      </c>
      <c r="BN61" s="14" t="str">
        <f t="shared" si="38"/>
        <v/>
      </c>
      <c r="BZ61" s="14" t="str">
        <f t="shared" si="39"/>
        <v/>
      </c>
      <c r="CA61" s="14">
        <f t="shared" si="40"/>
        <v>2</v>
      </c>
      <c r="CB61" s="14" t="str">
        <f t="shared" si="41"/>
        <v/>
      </c>
      <c r="CN61" s="14" t="str">
        <f t="shared" si="42"/>
        <v/>
      </c>
      <c r="CO61" s="14">
        <f t="shared" si="43"/>
        <v>2</v>
      </c>
      <c r="CP61" s="14" t="str">
        <f t="shared" si="44"/>
        <v/>
      </c>
    </row>
    <row r="62" spans="8:94" x14ac:dyDescent="0.25">
      <c r="H62" s="14">
        <f t="shared" si="27"/>
        <v>1</v>
      </c>
      <c r="I62" s="14" t="str">
        <f t="shared" si="28"/>
        <v/>
      </c>
      <c r="J62" s="14" t="str">
        <f t="shared" si="29"/>
        <v/>
      </c>
      <c r="V62" s="14" t="str">
        <f t="shared" si="30"/>
        <v/>
      </c>
      <c r="W62" s="14">
        <f t="shared" si="31"/>
        <v>2</v>
      </c>
      <c r="X62" s="14" t="str">
        <f t="shared" si="32"/>
        <v/>
      </c>
      <c r="AJ62" s="14" t="str">
        <f t="shared" si="45"/>
        <v/>
      </c>
      <c r="AK62" s="14">
        <f t="shared" si="46"/>
        <v>1</v>
      </c>
      <c r="AL62" s="14" t="str">
        <f t="shared" si="47"/>
        <v/>
      </c>
      <c r="AX62" s="14" t="str">
        <f t="shared" si="33"/>
        <v/>
      </c>
      <c r="AY62" s="14">
        <f t="shared" si="34"/>
        <v>1</v>
      </c>
      <c r="AZ62" s="14" t="str">
        <f t="shared" si="35"/>
        <v/>
      </c>
      <c r="BL62" s="14" t="str">
        <f t="shared" si="36"/>
        <v/>
      </c>
      <c r="BM62" s="14">
        <f t="shared" si="37"/>
        <v>3</v>
      </c>
      <c r="BN62" s="14" t="str">
        <f t="shared" si="38"/>
        <v/>
      </c>
      <c r="BZ62" s="14" t="str">
        <f t="shared" si="39"/>
        <v/>
      </c>
      <c r="CA62" s="14" t="str">
        <f t="shared" si="40"/>
        <v/>
      </c>
      <c r="CB62" s="14">
        <f t="shared" si="41"/>
        <v>3</v>
      </c>
      <c r="CN62" s="14" t="str">
        <f t="shared" si="42"/>
        <v/>
      </c>
      <c r="CO62" s="14" t="str">
        <f t="shared" si="43"/>
        <v/>
      </c>
      <c r="CP62" s="14">
        <f t="shared" si="44"/>
        <v>3</v>
      </c>
    </row>
    <row r="63" spans="8:94" x14ac:dyDescent="0.25">
      <c r="H63" s="14" t="str">
        <f t="shared" si="27"/>
        <v/>
      </c>
      <c r="I63" s="14">
        <f t="shared" si="28"/>
        <v>1</v>
      </c>
      <c r="J63" s="14" t="str">
        <f t="shared" si="29"/>
        <v/>
      </c>
      <c r="V63" s="14" t="str">
        <f t="shared" si="30"/>
        <v/>
      </c>
      <c r="W63" s="14" t="str">
        <f t="shared" si="31"/>
        <v/>
      </c>
      <c r="X63" s="14">
        <f t="shared" si="32"/>
        <v>3</v>
      </c>
      <c r="AJ63" s="14">
        <f t="shared" si="45"/>
        <v>2</v>
      </c>
      <c r="AK63" s="14" t="str">
        <f t="shared" si="46"/>
        <v/>
      </c>
      <c r="AL63" s="14" t="str">
        <f t="shared" si="47"/>
        <v/>
      </c>
      <c r="AX63" s="14">
        <f t="shared" si="33"/>
        <v>1</v>
      </c>
      <c r="AY63" s="14" t="str">
        <f t="shared" si="34"/>
        <v/>
      </c>
      <c r="AZ63" s="14" t="str">
        <f t="shared" si="35"/>
        <v/>
      </c>
      <c r="BL63" s="14" t="str">
        <f t="shared" si="36"/>
        <v/>
      </c>
      <c r="BM63" s="14">
        <f t="shared" si="37"/>
        <v>2</v>
      </c>
      <c r="BN63" s="14" t="str">
        <f t="shared" si="38"/>
        <v/>
      </c>
      <c r="BZ63" s="14">
        <f t="shared" si="39"/>
        <v>2</v>
      </c>
      <c r="CA63" s="14" t="str">
        <f t="shared" si="40"/>
        <v/>
      </c>
      <c r="CB63" s="14" t="str">
        <f t="shared" si="41"/>
        <v/>
      </c>
      <c r="CN63" s="14">
        <f t="shared" si="42"/>
        <v>1</v>
      </c>
      <c r="CO63" s="14" t="str">
        <f t="shared" si="43"/>
        <v/>
      </c>
      <c r="CP63" s="14" t="str">
        <f t="shared" si="44"/>
        <v/>
      </c>
    </row>
    <row r="64" spans="8:94" x14ac:dyDescent="0.25">
      <c r="H64" s="14">
        <f t="shared" si="27"/>
        <v>1</v>
      </c>
      <c r="I64" s="14" t="str">
        <f t="shared" si="28"/>
        <v/>
      </c>
      <c r="J64" s="14" t="str">
        <f t="shared" si="29"/>
        <v/>
      </c>
      <c r="V64" s="14">
        <f>IF(Q26="Basic",S26,"")</f>
        <v>2</v>
      </c>
      <c r="W64" s="14" t="str">
        <f t="shared" si="31"/>
        <v/>
      </c>
      <c r="X64" s="14" t="str">
        <f t="shared" si="32"/>
        <v/>
      </c>
      <c r="AJ64" s="14" t="str">
        <f t="shared" si="45"/>
        <v/>
      </c>
      <c r="AK64" s="14">
        <f t="shared" si="46"/>
        <v>3</v>
      </c>
      <c r="AL64" s="14" t="str">
        <f t="shared" si="47"/>
        <v/>
      </c>
      <c r="AX64" s="14">
        <f t="shared" si="33"/>
        <v>1</v>
      </c>
      <c r="AY64" s="14" t="str">
        <f t="shared" si="34"/>
        <v/>
      </c>
      <c r="AZ64" s="14" t="str">
        <f t="shared" si="35"/>
        <v/>
      </c>
      <c r="BL64" s="14" t="str">
        <f t="shared" si="36"/>
        <v/>
      </c>
      <c r="BM64" s="14">
        <f t="shared" si="37"/>
        <v>1</v>
      </c>
      <c r="BN64" s="14" t="str">
        <f t="shared" si="38"/>
        <v/>
      </c>
      <c r="BZ64" s="14" t="str">
        <f t="shared" si="39"/>
        <v/>
      </c>
      <c r="CA64" s="14">
        <f t="shared" si="40"/>
        <v>2</v>
      </c>
      <c r="CB64" s="14" t="str">
        <f t="shared" si="41"/>
        <v/>
      </c>
      <c r="CN64" s="14" t="str">
        <f t="shared" si="42"/>
        <v/>
      </c>
      <c r="CO64" s="14">
        <f t="shared" si="43"/>
        <v>2</v>
      </c>
      <c r="CP64" s="14" t="str">
        <f t="shared" si="44"/>
        <v/>
      </c>
    </row>
    <row r="65" spans="8:94" x14ac:dyDescent="0.25">
      <c r="H65" s="14" t="str">
        <f t="shared" si="27"/>
        <v/>
      </c>
      <c r="I65" s="14">
        <f t="shared" si="28"/>
        <v>1</v>
      </c>
      <c r="J65" s="14" t="str">
        <f t="shared" si="29"/>
        <v/>
      </c>
      <c r="V65" s="14">
        <f t="shared" ref="V65:V71" si="48">IF(Q27="Basic",S27,"")</f>
        <v>0</v>
      </c>
      <c r="W65" s="14" t="str">
        <f t="shared" ref="W65:W71" si="49">IF(Q27="Stage 1",S27,"")</f>
        <v/>
      </c>
      <c r="X65" s="14" t="str">
        <f t="shared" ref="X65:X71" si="50">IF(Q27="Stage 2",S27,"")</f>
        <v/>
      </c>
      <c r="AJ65" s="14" t="str">
        <f t="shared" si="45"/>
        <v/>
      </c>
      <c r="AK65" s="14">
        <f t="shared" si="46"/>
        <v>1</v>
      </c>
      <c r="AL65" s="14" t="str">
        <f t="shared" si="47"/>
        <v/>
      </c>
      <c r="AX65" s="14" t="str">
        <f t="shared" si="33"/>
        <v/>
      </c>
      <c r="AY65" s="14">
        <f t="shared" si="34"/>
        <v>1</v>
      </c>
      <c r="AZ65" s="14" t="str">
        <f t="shared" si="35"/>
        <v/>
      </c>
      <c r="BL65" s="14" t="str">
        <f t="shared" si="36"/>
        <v/>
      </c>
      <c r="BM65" s="14" t="str">
        <f t="shared" si="37"/>
        <v/>
      </c>
      <c r="BN65" s="14">
        <f t="shared" si="38"/>
        <v>1</v>
      </c>
      <c r="BZ65" s="14">
        <f t="shared" si="39"/>
        <v>1</v>
      </c>
      <c r="CA65" s="14" t="str">
        <f t="shared" si="40"/>
        <v/>
      </c>
      <c r="CB65" s="14" t="str">
        <f t="shared" si="41"/>
        <v/>
      </c>
      <c r="CN65" s="14">
        <f t="shared" si="42"/>
        <v>1</v>
      </c>
      <c r="CO65" s="14" t="str">
        <f t="shared" si="43"/>
        <v/>
      </c>
      <c r="CP65" s="14" t="str">
        <f t="shared" si="44"/>
        <v/>
      </c>
    </row>
    <row r="66" spans="8:94" x14ac:dyDescent="0.25">
      <c r="H66" s="14" t="str">
        <f t="shared" si="27"/>
        <v/>
      </c>
      <c r="I66" s="14" t="str">
        <f t="shared" si="28"/>
        <v/>
      </c>
      <c r="J66" s="14">
        <f t="shared" si="29"/>
        <v>1</v>
      </c>
      <c r="V66" s="14">
        <f t="shared" si="48"/>
        <v>2</v>
      </c>
      <c r="W66" s="14" t="str">
        <f t="shared" si="49"/>
        <v/>
      </c>
      <c r="X66" s="14" t="str">
        <f t="shared" si="50"/>
        <v/>
      </c>
      <c r="AJ66" s="14" t="str">
        <f t="shared" si="45"/>
        <v/>
      </c>
      <c r="AK66" s="14">
        <f t="shared" si="46"/>
        <v>1</v>
      </c>
      <c r="AL66" s="14" t="str">
        <f t="shared" si="47"/>
        <v/>
      </c>
      <c r="AX66" s="14" t="str">
        <f t="shared" si="33"/>
        <v/>
      </c>
      <c r="AY66" s="14" t="str">
        <f t="shared" si="34"/>
        <v/>
      </c>
      <c r="AZ66" s="14">
        <f t="shared" si="35"/>
        <v>1</v>
      </c>
      <c r="BL66" s="14" t="str">
        <f t="shared" si="36"/>
        <v/>
      </c>
      <c r="BM66" s="14">
        <f t="shared" si="37"/>
        <v>2</v>
      </c>
      <c r="BN66" s="14" t="str">
        <f t="shared" si="38"/>
        <v/>
      </c>
      <c r="BZ66" s="14" t="str">
        <f t="shared" si="39"/>
        <v/>
      </c>
      <c r="CA66" s="14">
        <f t="shared" si="40"/>
        <v>2</v>
      </c>
      <c r="CB66" s="14" t="str">
        <f t="shared" si="41"/>
        <v/>
      </c>
      <c r="CN66" s="14" t="str">
        <f t="shared" si="42"/>
        <v/>
      </c>
      <c r="CO66" s="14">
        <f t="shared" si="43"/>
        <v>1</v>
      </c>
      <c r="CP66" s="14" t="str">
        <f t="shared" si="44"/>
        <v/>
      </c>
    </row>
    <row r="67" spans="8:94" x14ac:dyDescent="0.25">
      <c r="H67" s="14">
        <f t="shared" si="27"/>
        <v>1</v>
      </c>
      <c r="I67" s="14" t="str">
        <f t="shared" si="28"/>
        <v/>
      </c>
      <c r="J67" s="14" t="str">
        <f t="shared" si="29"/>
        <v/>
      </c>
      <c r="V67" s="14" t="str">
        <f t="shared" si="48"/>
        <v/>
      </c>
      <c r="W67" s="14">
        <f t="shared" si="49"/>
        <v>3</v>
      </c>
      <c r="X67" s="14" t="str">
        <f t="shared" si="50"/>
        <v/>
      </c>
      <c r="AJ67" s="14" t="str">
        <f t="shared" si="45"/>
        <v/>
      </c>
      <c r="AK67" s="14">
        <f t="shared" si="46"/>
        <v>1</v>
      </c>
      <c r="AL67" s="14" t="str">
        <f t="shared" si="47"/>
        <v/>
      </c>
      <c r="AX67" s="14">
        <f t="shared" si="33"/>
        <v>1</v>
      </c>
      <c r="AY67" s="14" t="str">
        <f t="shared" si="34"/>
        <v/>
      </c>
      <c r="AZ67" s="14" t="str">
        <f t="shared" si="35"/>
        <v/>
      </c>
      <c r="BL67" s="14" t="str">
        <f t="shared" si="36"/>
        <v/>
      </c>
      <c r="BM67" s="14" t="str">
        <f t="shared" si="37"/>
        <v/>
      </c>
      <c r="BN67" s="14">
        <f t="shared" si="38"/>
        <v>3</v>
      </c>
      <c r="BZ67" s="14" t="str">
        <f t="shared" si="39"/>
        <v/>
      </c>
      <c r="CA67" s="14" t="str">
        <f t="shared" si="40"/>
        <v/>
      </c>
      <c r="CB67" s="14">
        <f t="shared" si="41"/>
        <v>1</v>
      </c>
      <c r="CN67" s="14">
        <f t="shared" si="42"/>
        <v>0</v>
      </c>
      <c r="CO67" s="14" t="str">
        <f t="shared" si="43"/>
        <v/>
      </c>
      <c r="CP67" s="14" t="str">
        <f t="shared" si="44"/>
        <v/>
      </c>
    </row>
    <row r="68" spans="8:94" x14ac:dyDescent="0.25">
      <c r="H68" s="14" t="str">
        <f t="shared" si="27"/>
        <v/>
      </c>
      <c r="I68" s="14">
        <f t="shared" si="28"/>
        <v>2</v>
      </c>
      <c r="J68" s="14" t="str">
        <f t="shared" si="29"/>
        <v/>
      </c>
      <c r="V68" s="14">
        <f t="shared" si="48"/>
        <v>3</v>
      </c>
      <c r="W68" s="14" t="str">
        <f t="shared" si="49"/>
        <v/>
      </c>
      <c r="X68" s="14" t="str">
        <f t="shared" si="50"/>
        <v/>
      </c>
      <c r="AJ68" s="14" t="str">
        <f t="shared" si="45"/>
        <v/>
      </c>
      <c r="AK68" s="14" t="str">
        <f t="shared" si="46"/>
        <v/>
      </c>
      <c r="AL68" s="14">
        <f t="shared" si="47"/>
        <v>2</v>
      </c>
      <c r="AX68" s="14">
        <f t="shared" si="33"/>
        <v>2</v>
      </c>
      <c r="AY68" s="14" t="str">
        <f t="shared" si="34"/>
        <v/>
      </c>
      <c r="AZ68" s="14" t="str">
        <f t="shared" si="35"/>
        <v/>
      </c>
      <c r="BL68" s="14">
        <f t="shared" si="36"/>
        <v>1</v>
      </c>
      <c r="BM68" s="14" t="str">
        <f t="shared" si="37"/>
        <v/>
      </c>
      <c r="BN68" s="14" t="str">
        <f t="shared" si="38"/>
        <v/>
      </c>
      <c r="BZ68" s="14">
        <f t="shared" si="39"/>
        <v>0</v>
      </c>
      <c r="CA68" s="14" t="str">
        <f t="shared" si="40"/>
        <v/>
      </c>
      <c r="CB68" s="14" t="str">
        <f t="shared" si="41"/>
        <v/>
      </c>
      <c r="CN68" s="14" t="str">
        <f t="shared" si="42"/>
        <v/>
      </c>
      <c r="CO68" s="14">
        <f t="shared" si="43"/>
        <v>1</v>
      </c>
      <c r="CP68" s="14" t="str">
        <f t="shared" si="44"/>
        <v/>
      </c>
    </row>
    <row r="69" spans="8:94" x14ac:dyDescent="0.25">
      <c r="H69" s="14">
        <f t="shared" si="27"/>
        <v>2</v>
      </c>
      <c r="I69" s="14" t="str">
        <f t="shared" si="28"/>
        <v/>
      </c>
      <c r="J69" s="14" t="str">
        <f t="shared" si="29"/>
        <v/>
      </c>
      <c r="V69" s="14">
        <f t="shared" si="48"/>
        <v>0</v>
      </c>
      <c r="W69" s="14" t="str">
        <f t="shared" si="49"/>
        <v/>
      </c>
      <c r="X69" s="14" t="str">
        <f t="shared" si="50"/>
        <v/>
      </c>
      <c r="AJ69" s="14">
        <f t="shared" si="45"/>
        <v>1</v>
      </c>
      <c r="AK69" s="14" t="str">
        <f t="shared" si="46"/>
        <v/>
      </c>
      <c r="AL69" s="14" t="str">
        <f t="shared" si="47"/>
        <v/>
      </c>
      <c r="AX69" s="14">
        <f t="shared" si="33"/>
        <v>0</v>
      </c>
      <c r="AY69" s="14" t="str">
        <f t="shared" si="34"/>
        <v/>
      </c>
      <c r="AZ69" s="14" t="str">
        <f t="shared" si="35"/>
        <v/>
      </c>
      <c r="BL69" s="14" t="str">
        <f t="shared" si="36"/>
        <v/>
      </c>
      <c r="BM69" s="14">
        <f t="shared" si="37"/>
        <v>1</v>
      </c>
      <c r="BN69" s="14" t="str">
        <f t="shared" si="38"/>
        <v/>
      </c>
      <c r="BZ69" s="14" t="str">
        <f t="shared" si="39"/>
        <v/>
      </c>
      <c r="CA69" s="14">
        <f t="shared" si="40"/>
        <v>0</v>
      </c>
      <c r="CB69" s="14" t="str">
        <f t="shared" si="41"/>
        <v/>
      </c>
      <c r="CN69" s="14" t="str">
        <f t="shared" si="42"/>
        <v/>
      </c>
      <c r="CO69" s="14" t="str">
        <f t="shared" si="43"/>
        <v/>
      </c>
      <c r="CP69" s="14">
        <f t="shared" si="44"/>
        <v>2</v>
      </c>
    </row>
    <row r="70" spans="8:94" x14ac:dyDescent="0.25">
      <c r="H70" s="14" t="str">
        <f t="shared" si="27"/>
        <v/>
      </c>
      <c r="I70" s="14">
        <f t="shared" si="28"/>
        <v>3</v>
      </c>
      <c r="J70" s="14" t="str">
        <f t="shared" si="29"/>
        <v/>
      </c>
      <c r="V70" s="14" t="str">
        <f t="shared" si="48"/>
        <v/>
      </c>
      <c r="W70" s="14">
        <f t="shared" si="49"/>
        <v>1</v>
      </c>
      <c r="X70" s="14" t="str">
        <f t="shared" si="50"/>
        <v/>
      </c>
      <c r="AJ70" s="14" t="str">
        <f t="shared" si="45"/>
        <v/>
      </c>
      <c r="AK70" s="14">
        <f t="shared" si="46"/>
        <v>2</v>
      </c>
      <c r="AL70" s="14" t="str">
        <f t="shared" si="47"/>
        <v/>
      </c>
      <c r="AX70" s="14" t="str">
        <f t="shared" si="33"/>
        <v/>
      </c>
      <c r="AY70" s="14">
        <f t="shared" si="34"/>
        <v>2</v>
      </c>
      <c r="AZ70" s="14" t="str">
        <f t="shared" si="35"/>
        <v/>
      </c>
      <c r="BL70" s="14" t="str">
        <f t="shared" si="36"/>
        <v/>
      </c>
      <c r="BM70" s="14">
        <f t="shared" si="37"/>
        <v>2</v>
      </c>
      <c r="BN70" s="14" t="str">
        <f t="shared" si="38"/>
        <v/>
      </c>
      <c r="BZ70" s="14">
        <f t="shared" si="39"/>
        <v>2</v>
      </c>
      <c r="CA70" s="14" t="str">
        <f t="shared" si="40"/>
        <v/>
      </c>
      <c r="CB70" s="14" t="str">
        <f t="shared" si="41"/>
        <v/>
      </c>
      <c r="CN70" s="14">
        <f t="shared" si="42"/>
        <v>1</v>
      </c>
      <c r="CO70" s="14" t="str">
        <f t="shared" si="43"/>
        <v/>
      </c>
      <c r="CP70" s="14" t="str">
        <f t="shared" si="44"/>
        <v/>
      </c>
    </row>
    <row r="71" spans="8:94" x14ac:dyDescent="0.25">
      <c r="H71" s="14">
        <f t="shared" si="27"/>
        <v>2</v>
      </c>
      <c r="I71" s="14" t="str">
        <f t="shared" si="28"/>
        <v/>
      </c>
      <c r="J71" s="14" t="str">
        <f t="shared" si="29"/>
        <v/>
      </c>
      <c r="V71" s="14" t="str">
        <f t="shared" si="48"/>
        <v/>
      </c>
      <c r="W71" s="14" t="str">
        <f t="shared" si="49"/>
        <v/>
      </c>
      <c r="X71" s="14">
        <f t="shared" si="50"/>
        <v>2</v>
      </c>
      <c r="AJ71" s="14" t="str">
        <f t="shared" si="45"/>
        <v/>
      </c>
      <c r="AK71" s="14" t="str">
        <f t="shared" si="46"/>
        <v/>
      </c>
      <c r="AL71" s="14">
        <f t="shared" si="47"/>
        <v>3</v>
      </c>
      <c r="AX71" s="14" t="str">
        <f t="shared" si="33"/>
        <v/>
      </c>
      <c r="AY71" s="14" t="str">
        <f t="shared" si="34"/>
        <v/>
      </c>
      <c r="AZ71" s="14">
        <f t="shared" si="35"/>
        <v>3</v>
      </c>
      <c r="BL71" s="14">
        <f t="shared" si="36"/>
        <v>1</v>
      </c>
      <c r="BM71" s="14" t="str">
        <f t="shared" si="37"/>
        <v/>
      </c>
      <c r="BN71" s="14" t="str">
        <f t="shared" si="38"/>
        <v/>
      </c>
      <c r="BZ71" s="14">
        <f t="shared" si="39"/>
        <v>1</v>
      </c>
      <c r="CA71" s="14" t="str">
        <f t="shared" si="40"/>
        <v/>
      </c>
      <c r="CB71" s="14" t="str">
        <f t="shared" si="41"/>
        <v/>
      </c>
      <c r="CN71" s="14">
        <f t="shared" si="42"/>
        <v>2</v>
      </c>
      <c r="CO71" s="14" t="str">
        <f t="shared" si="43"/>
        <v/>
      </c>
      <c r="CP71" s="14" t="str">
        <f t="shared" si="44"/>
        <v/>
      </c>
    </row>
    <row r="72" spans="8:94" x14ac:dyDescent="0.25">
      <c r="H72" s="14" t="str">
        <f t="shared" si="27"/>
        <v/>
      </c>
      <c r="I72" s="14">
        <f t="shared" si="28"/>
        <v>2</v>
      </c>
      <c r="J72" s="14" t="str">
        <f t="shared" si="29"/>
        <v/>
      </c>
      <c r="V72" s="14" t="str">
        <f>IF(Q34="Basic",S34,"")</f>
        <v/>
      </c>
      <c r="W72" s="14" t="str">
        <f>IF(Q34="Stage 1",S34,"")</f>
        <v/>
      </c>
      <c r="X72" s="14" t="str">
        <f>IF(Q34="Stage 2",S34,"")</f>
        <v/>
      </c>
      <c r="AJ72" s="14">
        <f t="shared" si="45"/>
        <v>1</v>
      </c>
      <c r="AK72" s="14" t="str">
        <f t="shared" si="46"/>
        <v/>
      </c>
      <c r="AL72" s="14" t="str">
        <f t="shared" si="47"/>
        <v/>
      </c>
      <c r="AX72" s="14">
        <f t="shared" si="33"/>
        <v>3</v>
      </c>
      <c r="AY72" s="14" t="str">
        <f t="shared" si="34"/>
        <v/>
      </c>
      <c r="AZ72" s="14" t="str">
        <f t="shared" si="35"/>
        <v/>
      </c>
      <c r="BL72" s="14" t="str">
        <f t="shared" si="36"/>
        <v/>
      </c>
      <c r="BM72" s="14">
        <f t="shared" si="37"/>
        <v>2</v>
      </c>
      <c r="BN72" s="14" t="str">
        <f t="shared" si="38"/>
        <v/>
      </c>
      <c r="BZ72" s="14" t="str">
        <f t="shared" si="39"/>
        <v/>
      </c>
      <c r="CA72" s="14">
        <f t="shared" si="40"/>
        <v>2</v>
      </c>
      <c r="CB72" s="14" t="str">
        <f t="shared" si="41"/>
        <v/>
      </c>
      <c r="CN72" s="14" t="str">
        <f>IF(CI34="Basic",CK34,"")</f>
        <v/>
      </c>
      <c r="CO72" s="14">
        <f>IF(CI34="Stage 1",CK34,"")</f>
        <v>1</v>
      </c>
      <c r="CP72" s="14" t="str">
        <f>IF(CI34="Stage 2",CK34,"")</f>
        <v/>
      </c>
    </row>
    <row r="73" spans="8:94" x14ac:dyDescent="0.25">
      <c r="H73" s="14">
        <f t="shared" si="27"/>
        <v>2</v>
      </c>
      <c r="I73" s="14" t="str">
        <f t="shared" si="28"/>
        <v/>
      </c>
      <c r="J73" s="14" t="str">
        <f t="shared" si="29"/>
        <v/>
      </c>
      <c r="V73" s="14" t="str">
        <f>IF(Q35="Basic",S35,"")</f>
        <v/>
      </c>
      <c r="W73" s="14" t="str">
        <f>IF(Q35="Stage 1",S35,"")</f>
        <v/>
      </c>
      <c r="X73" s="14" t="str">
        <f>IF(Q35="Stage 2",S35,"")</f>
        <v/>
      </c>
      <c r="AJ73" s="14">
        <f t="shared" si="45"/>
        <v>2</v>
      </c>
      <c r="AK73" s="14" t="str">
        <f t="shared" si="46"/>
        <v/>
      </c>
      <c r="AL73" s="14" t="str">
        <f t="shared" si="47"/>
        <v/>
      </c>
      <c r="AX73" s="14" t="str">
        <f t="shared" si="33"/>
        <v/>
      </c>
      <c r="AY73" s="14" t="str">
        <f t="shared" si="34"/>
        <v/>
      </c>
      <c r="AZ73" s="14" t="str">
        <f t="shared" si="35"/>
        <v/>
      </c>
      <c r="BL73" s="14" t="str">
        <f t="shared" si="36"/>
        <v/>
      </c>
      <c r="BM73" s="14" t="str">
        <f t="shared" si="37"/>
        <v/>
      </c>
      <c r="BN73" s="14">
        <f t="shared" si="38"/>
        <v>3</v>
      </c>
      <c r="BZ73" s="14" t="str">
        <f t="shared" si="39"/>
        <v/>
      </c>
      <c r="CA73" s="14" t="str">
        <f t="shared" si="40"/>
        <v/>
      </c>
      <c r="CB73" s="14">
        <f t="shared" si="41"/>
        <v>2</v>
      </c>
      <c r="CN73" s="14" t="str">
        <f t="shared" si="42"/>
        <v/>
      </c>
      <c r="CO73" s="14" t="str">
        <f t="shared" si="43"/>
        <v/>
      </c>
      <c r="CP73" s="14" t="str">
        <f t="shared" si="44"/>
        <v/>
      </c>
    </row>
    <row r="74" spans="8:94" x14ac:dyDescent="0.25">
      <c r="H74" s="14" t="str">
        <f t="shared" si="27"/>
        <v/>
      </c>
      <c r="I74" s="14">
        <f t="shared" si="28"/>
        <v>4</v>
      </c>
      <c r="J74" s="14" t="str">
        <f t="shared" si="29"/>
        <v/>
      </c>
      <c r="V74" s="14" t="str">
        <f>IF(Q36="Basic",S36,"")</f>
        <v/>
      </c>
      <c r="W74" s="14" t="str">
        <f>IF(Q36="Stage 1",S36,"")</f>
        <v/>
      </c>
      <c r="X74" s="14" t="str">
        <f>IF(Q36="Stage 2",S36,"")</f>
        <v/>
      </c>
      <c r="AJ74" s="14" t="str">
        <f>IF(AE36="Basic",AG36,"")</f>
        <v/>
      </c>
      <c r="AK74" s="14" t="str">
        <f>IF(AE36="Stage 1",AG36,"")</f>
        <v/>
      </c>
      <c r="AL74" s="14" t="str">
        <f>IF(AE36="Stage 2",AG36,"")</f>
        <v/>
      </c>
      <c r="AX74" s="14" t="str">
        <f t="shared" si="33"/>
        <v/>
      </c>
      <c r="AY74" s="14" t="str">
        <f t="shared" si="34"/>
        <v/>
      </c>
      <c r="AZ74" s="14" t="str">
        <f t="shared" si="35"/>
        <v/>
      </c>
      <c r="BL74" s="14" t="str">
        <f t="shared" si="36"/>
        <v/>
      </c>
      <c r="BM74" s="14" t="str">
        <f t="shared" si="37"/>
        <v/>
      </c>
      <c r="BN74" s="14">
        <f t="shared" si="38"/>
        <v>2</v>
      </c>
      <c r="BZ74" s="14" t="str">
        <f t="shared" si="39"/>
        <v/>
      </c>
      <c r="CA74" s="14" t="str">
        <f t="shared" si="40"/>
        <v/>
      </c>
      <c r="CB74" s="14" t="str">
        <f t="shared" si="41"/>
        <v/>
      </c>
      <c r="CN74" s="14" t="str">
        <f t="shared" si="42"/>
        <v/>
      </c>
      <c r="CO74" s="14" t="str">
        <f t="shared" si="43"/>
        <v/>
      </c>
      <c r="CP74" s="14" t="str">
        <f t="shared" si="44"/>
        <v/>
      </c>
    </row>
    <row r="75" spans="8:94" x14ac:dyDescent="0.25">
      <c r="H75" s="14">
        <f t="shared" si="27"/>
        <v>0</v>
      </c>
      <c r="I75" s="14" t="str">
        <f t="shared" si="28"/>
        <v/>
      </c>
      <c r="J75" s="14" t="str">
        <f t="shared" si="29"/>
        <v/>
      </c>
      <c r="V75" s="14" t="str">
        <f t="shared" si="30"/>
        <v/>
      </c>
      <c r="W75" s="14" t="str">
        <f t="shared" si="31"/>
        <v/>
      </c>
      <c r="X75" s="14" t="str">
        <f t="shared" si="32"/>
        <v/>
      </c>
      <c r="AJ75" s="14" t="str">
        <f>IF(AE37="Basic",AG37,"")</f>
        <v/>
      </c>
      <c r="AK75" s="14" t="str">
        <f>IF(AE37="Stage 1",AG37,"")</f>
        <v/>
      </c>
      <c r="AL75" s="14" t="str">
        <f>IF(AE37="Stage 2",AG37,"")</f>
        <v/>
      </c>
      <c r="AX75" s="14" t="str">
        <f t="shared" si="33"/>
        <v/>
      </c>
      <c r="AY75" s="14" t="str">
        <f t="shared" si="34"/>
        <v/>
      </c>
      <c r="AZ75" s="14" t="str">
        <f t="shared" si="35"/>
        <v/>
      </c>
      <c r="BL75" s="14" t="str">
        <f t="shared" si="36"/>
        <v/>
      </c>
      <c r="BM75" s="14" t="str">
        <f t="shared" si="37"/>
        <v/>
      </c>
      <c r="BN75" s="14" t="str">
        <f t="shared" si="38"/>
        <v/>
      </c>
      <c r="BZ75" s="14" t="str">
        <f t="shared" si="39"/>
        <v/>
      </c>
      <c r="CA75" s="14" t="str">
        <f t="shared" si="40"/>
        <v/>
      </c>
      <c r="CB75" s="14" t="str">
        <f t="shared" si="41"/>
        <v/>
      </c>
      <c r="CN75" s="14" t="str">
        <f t="shared" si="42"/>
        <v/>
      </c>
      <c r="CO75" s="14" t="str">
        <f t="shared" si="43"/>
        <v/>
      </c>
      <c r="CP75" s="14" t="str">
        <f t="shared" si="44"/>
        <v/>
      </c>
    </row>
    <row r="76" spans="8:94" x14ac:dyDescent="0.25">
      <c r="H76" s="14" t="str">
        <f t="shared" si="27"/>
        <v/>
      </c>
      <c r="I76" s="14">
        <f t="shared" si="28"/>
        <v>1</v>
      </c>
      <c r="J76" s="14" t="str">
        <f t="shared" si="29"/>
        <v/>
      </c>
      <c r="V76" s="14" t="str">
        <f t="shared" si="30"/>
        <v/>
      </c>
      <c r="W76" s="14" t="str">
        <f t="shared" si="31"/>
        <v/>
      </c>
      <c r="X76" s="14" t="str">
        <f t="shared" si="32"/>
        <v/>
      </c>
      <c r="AJ76" s="14" t="str">
        <f>IF(AE38="Basic",AG38,"")</f>
        <v/>
      </c>
      <c r="AK76" s="14" t="str">
        <f>IF(AE38="Stage 1",AG38,"")</f>
        <v/>
      </c>
      <c r="AL76" s="14" t="str">
        <f>IF(AE38="Stage 2",AG38,"")</f>
        <v/>
      </c>
      <c r="AX76" s="14" t="str">
        <f t="shared" si="33"/>
        <v/>
      </c>
      <c r="AY76" s="14" t="str">
        <f t="shared" si="34"/>
        <v/>
      </c>
      <c r="AZ76" s="14" t="str">
        <f t="shared" si="35"/>
        <v/>
      </c>
      <c r="BL76" s="14" t="str">
        <f t="shared" si="36"/>
        <v/>
      </c>
      <c r="BM76" s="14" t="str">
        <f t="shared" si="37"/>
        <v/>
      </c>
      <c r="BN76" s="14" t="str">
        <f t="shared" si="38"/>
        <v/>
      </c>
      <c r="BZ76" s="14" t="str">
        <f t="shared" si="39"/>
        <v/>
      </c>
      <c r="CA76" s="14" t="str">
        <f t="shared" si="40"/>
        <v/>
      </c>
      <c r="CB76" s="14" t="str">
        <f t="shared" si="41"/>
        <v/>
      </c>
      <c r="CN76" s="14" t="str">
        <f t="shared" si="42"/>
        <v/>
      </c>
      <c r="CO76" s="14" t="str">
        <f t="shared" si="43"/>
        <v/>
      </c>
      <c r="CP76" s="14" t="str">
        <f t="shared" si="44"/>
        <v/>
      </c>
    </row>
    <row r="77" spans="8:94" x14ac:dyDescent="0.25">
      <c r="H77" s="14" t="str">
        <f t="shared" si="27"/>
        <v/>
      </c>
      <c r="I77" s="14" t="str">
        <f t="shared" si="28"/>
        <v/>
      </c>
      <c r="J77" s="14" t="str">
        <f t="shared" si="29"/>
        <v/>
      </c>
      <c r="V77" s="14" t="str">
        <f t="shared" si="30"/>
        <v/>
      </c>
      <c r="W77" s="14" t="str">
        <f t="shared" si="31"/>
        <v/>
      </c>
      <c r="X77" s="14" t="str">
        <f t="shared" si="32"/>
        <v/>
      </c>
      <c r="AJ77" s="14" t="str">
        <f>IF(AE39="Basic",AG39,"")</f>
        <v/>
      </c>
      <c r="AK77" s="14" t="str">
        <f>IF(AE39="Stage 1",AG39,"")</f>
        <v/>
      </c>
      <c r="AL77" s="14" t="str">
        <f>IF(AE39="Stage 2",AG39,"")</f>
        <v/>
      </c>
      <c r="AX77" s="14" t="str">
        <f t="shared" si="33"/>
        <v/>
      </c>
      <c r="AY77" s="14" t="str">
        <f t="shared" si="34"/>
        <v/>
      </c>
      <c r="AZ77" s="14" t="str">
        <f t="shared" si="35"/>
        <v/>
      </c>
      <c r="BL77" s="14" t="str">
        <f t="shared" si="36"/>
        <v/>
      </c>
      <c r="BM77" s="14" t="str">
        <f t="shared" si="37"/>
        <v/>
      </c>
      <c r="BN77" s="14" t="str">
        <f t="shared" si="38"/>
        <v/>
      </c>
      <c r="BZ77" s="14" t="str">
        <f t="shared" si="39"/>
        <v/>
      </c>
      <c r="CA77" s="14" t="str">
        <f t="shared" si="40"/>
        <v/>
      </c>
      <c r="CB77" s="14" t="str">
        <f t="shared" si="41"/>
        <v/>
      </c>
      <c r="CN77" s="14" t="str">
        <f t="shared" si="42"/>
        <v/>
      </c>
      <c r="CO77" s="14" t="str">
        <f t="shared" si="43"/>
        <v/>
      </c>
      <c r="CP77" s="14" t="str">
        <f t="shared" si="44"/>
        <v/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EEBB-D76F-464F-A399-63DE5E686B8D}">
  <dimension ref="B1:AB65"/>
  <sheetViews>
    <sheetView topLeftCell="P1" workbookViewId="0">
      <selection activeCell="Z11" sqref="Z11:AA11"/>
    </sheetView>
  </sheetViews>
  <sheetFormatPr defaultRowHeight="15" x14ac:dyDescent="0.25"/>
  <cols>
    <col min="1" max="1" width="9.140625" style="13"/>
    <col min="2" max="2" width="12" style="13" bestFit="1" customWidth="1"/>
    <col min="3" max="3" width="9.140625" style="13"/>
    <col min="4" max="5" width="11.42578125" style="13" customWidth="1"/>
    <col min="6" max="15" width="9.140625" style="13"/>
    <col min="16" max="16" width="12.85546875" style="13" bestFit="1" customWidth="1"/>
    <col min="17" max="19" width="11.42578125" style="13" customWidth="1"/>
    <col min="20" max="16384" width="9.140625" style="13"/>
  </cols>
  <sheetData>
    <row r="1" spans="2:28" x14ac:dyDescent="0.25">
      <c r="C1" s="14" t="s">
        <v>296</v>
      </c>
      <c r="D1" s="14" t="s">
        <v>294</v>
      </c>
      <c r="E1" s="14" t="s">
        <v>295</v>
      </c>
      <c r="F1" s="13" t="s">
        <v>306</v>
      </c>
      <c r="H1" s="89" t="s">
        <v>303</v>
      </c>
      <c r="I1" s="89"/>
      <c r="J1" s="14"/>
      <c r="L1" s="93" t="s">
        <v>302</v>
      </c>
      <c r="M1" s="93"/>
      <c r="N1" s="14"/>
      <c r="Q1" s="14" t="s">
        <v>296</v>
      </c>
      <c r="R1" s="14" t="s">
        <v>294</v>
      </c>
      <c r="S1" s="14" t="s">
        <v>295</v>
      </c>
      <c r="T1" s="13" t="s">
        <v>306</v>
      </c>
      <c r="V1" s="89" t="s">
        <v>303</v>
      </c>
      <c r="W1" s="89"/>
      <c r="X1" s="14"/>
      <c r="Z1" s="93" t="s">
        <v>302</v>
      </c>
      <c r="AA1" s="93"/>
      <c r="AB1" s="14"/>
    </row>
    <row r="2" spans="2:28" x14ac:dyDescent="0.25">
      <c r="B2" s="14" t="str">
        <f>Sheet1!B3</f>
        <v>Chikorita</v>
      </c>
      <c r="C2" s="6" t="s">
        <v>10</v>
      </c>
      <c r="D2" s="7" t="s">
        <v>297</v>
      </c>
      <c r="E2" s="8" t="s">
        <v>298</v>
      </c>
      <c r="F2" s="13">
        <f>COUNTA(B2:B37)</f>
        <v>36</v>
      </c>
      <c r="H2" s="14" t="s">
        <v>294</v>
      </c>
      <c r="I2" s="14" t="s">
        <v>295</v>
      </c>
      <c r="J2" s="14" t="s">
        <v>9</v>
      </c>
      <c r="L2" s="14" t="s">
        <v>294</v>
      </c>
      <c r="M2" s="14" t="s">
        <v>295</v>
      </c>
      <c r="N2" s="14" t="s">
        <v>9</v>
      </c>
      <c r="P2" s="14" t="str">
        <f>Sheet1!P3</f>
        <v>Tepig</v>
      </c>
      <c r="Q2" s="40" t="s">
        <v>297</v>
      </c>
      <c r="R2" s="41" t="s">
        <v>298</v>
      </c>
      <c r="S2" s="38" t="s">
        <v>10</v>
      </c>
      <c r="T2" s="13">
        <f>COUNTA(P2:P32)</f>
        <v>31</v>
      </c>
      <c r="V2" s="14" t="s">
        <v>294</v>
      </c>
      <c r="W2" s="14" t="s">
        <v>295</v>
      </c>
      <c r="X2" s="14" t="s">
        <v>9</v>
      </c>
      <c r="Z2" s="14" t="s">
        <v>294</v>
      </c>
      <c r="AA2" s="14" t="s">
        <v>295</v>
      </c>
      <c r="AB2" s="14" t="s">
        <v>9</v>
      </c>
    </row>
    <row r="3" spans="2:28" x14ac:dyDescent="0.25">
      <c r="B3" s="14" t="str">
        <f>Sheet1!B4</f>
        <v>Bayleef</v>
      </c>
      <c r="C3" s="6" t="s">
        <v>10</v>
      </c>
      <c r="D3" s="7" t="s">
        <v>297</v>
      </c>
      <c r="E3" s="8" t="s">
        <v>298</v>
      </c>
      <c r="H3" s="14">
        <f>COUNTIF(D:D,"GRASS")</f>
        <v>0</v>
      </c>
      <c r="I3" s="14">
        <f>COUNTIF(E:E,"GRASS")</f>
        <v>5</v>
      </c>
      <c r="J3" s="14">
        <f>H3+I3</f>
        <v>5</v>
      </c>
      <c r="L3" s="14">
        <f>COUNTIF($D:$D,"FIGHTING")</f>
        <v>2</v>
      </c>
      <c r="M3" s="14">
        <f>COUNTIF($E:$E,"FIGHTING")</f>
        <v>7</v>
      </c>
      <c r="N3" s="14">
        <f>L3+M3</f>
        <v>9</v>
      </c>
      <c r="P3" s="14" t="str">
        <f>Sheet1!P4</f>
        <v>Pignite</v>
      </c>
      <c r="Q3" s="40" t="s">
        <v>297</v>
      </c>
      <c r="R3" s="41" t="s">
        <v>298</v>
      </c>
      <c r="S3" s="38" t="s">
        <v>10</v>
      </c>
      <c r="V3" s="14">
        <f>COUNTIF(R:R,"GRASS")</f>
        <v>0</v>
      </c>
      <c r="W3" s="14">
        <f>COUNTIF(S:S,"GRASS")</f>
        <v>10</v>
      </c>
      <c r="X3" s="14">
        <f>V3+W3</f>
        <v>10</v>
      </c>
      <c r="Z3" s="14">
        <f>COUNTIF(R:R,"FIGHTING")</f>
        <v>6</v>
      </c>
      <c r="AA3" s="14">
        <f>COUNTIF(S:S,"FIGHTING")</f>
        <v>2</v>
      </c>
      <c r="AB3" s="14">
        <f>Z3+AA3</f>
        <v>8</v>
      </c>
    </row>
    <row r="4" spans="2:28" x14ac:dyDescent="0.25">
      <c r="B4" s="14" t="str">
        <f>Sheet1!B5</f>
        <v>Meganium</v>
      </c>
      <c r="C4" s="6" t="s">
        <v>10</v>
      </c>
      <c r="D4" s="7" t="s">
        <v>297</v>
      </c>
      <c r="E4" s="8" t="s">
        <v>298</v>
      </c>
      <c r="H4" s="39">
        <f>H3/J3</f>
        <v>0</v>
      </c>
      <c r="I4" s="39">
        <f>I3/J3</f>
        <v>1</v>
      </c>
      <c r="J4" s="39">
        <f>J3/$N$18</f>
        <v>7.9365079365079361E-2</v>
      </c>
      <c r="L4" s="39">
        <f>L3/N3</f>
        <v>0.22222222222222221</v>
      </c>
      <c r="M4" s="39">
        <f>M3/N3</f>
        <v>0.77777777777777779</v>
      </c>
      <c r="N4" s="39">
        <f>N3/$N$18</f>
        <v>0.14285714285714285</v>
      </c>
      <c r="P4" s="14" t="str">
        <f>Sheet1!P5</f>
        <v>Emboar</v>
      </c>
      <c r="Q4" s="40" t="s">
        <v>297</v>
      </c>
      <c r="R4" s="41" t="s">
        <v>298</v>
      </c>
      <c r="S4" s="38" t="s">
        <v>10</v>
      </c>
      <c r="V4" s="39">
        <f>V3/X3</f>
        <v>0</v>
      </c>
      <c r="W4" s="39">
        <f>W3/X3</f>
        <v>1</v>
      </c>
      <c r="X4" s="39">
        <f>X3/$N$18</f>
        <v>0.15873015873015872</v>
      </c>
      <c r="Z4" s="39">
        <f>Z3/AB3</f>
        <v>0.75</v>
      </c>
      <c r="AA4" s="39">
        <f>AA3/AB3</f>
        <v>0.25</v>
      </c>
      <c r="AB4" s="39">
        <f>AB3/$N$18</f>
        <v>0.12698412698412698</v>
      </c>
    </row>
    <row r="5" spans="2:28" x14ac:dyDescent="0.25">
      <c r="B5" s="14" t="str">
        <f>Sheet1!B6</f>
        <v>Celebi</v>
      </c>
      <c r="C5" s="6" t="s">
        <v>10</v>
      </c>
      <c r="D5" s="27" t="s">
        <v>299</v>
      </c>
      <c r="E5" s="4" t="s">
        <v>300</v>
      </c>
      <c r="G5" s="13" t="s">
        <v>305</v>
      </c>
      <c r="H5" s="39">
        <f>H3/$L$18</f>
        <v>0</v>
      </c>
      <c r="I5" s="39">
        <f>I3/$M$18</f>
        <v>0.18518518518518517</v>
      </c>
      <c r="J5" s="14"/>
      <c r="K5" s="13" t="s">
        <v>305</v>
      </c>
      <c r="L5" s="39">
        <f>L3/$L$18</f>
        <v>5.5555555555555552E-2</v>
      </c>
      <c r="M5" s="39">
        <f>M3/$M$18</f>
        <v>0.25925925925925924</v>
      </c>
      <c r="N5" s="14"/>
      <c r="P5" s="14" t="str">
        <f>Sheet1!P6</f>
        <v>Houndour</v>
      </c>
      <c r="Q5" s="40" t="s">
        <v>297</v>
      </c>
      <c r="R5" s="41" t="s">
        <v>298</v>
      </c>
      <c r="U5" s="13" t="s">
        <v>305</v>
      </c>
      <c r="V5" s="39">
        <f>V3/$AB$18</f>
        <v>0</v>
      </c>
      <c r="W5" s="39">
        <f>W3/$AB$18</f>
        <v>0.22222222222222221</v>
      </c>
      <c r="X5" s="14"/>
      <c r="Y5" s="13" t="s">
        <v>305</v>
      </c>
      <c r="Z5" s="39">
        <f>Z3/$AB$18</f>
        <v>0.13333333333333333</v>
      </c>
      <c r="AA5" s="39">
        <f>AA3/$AB$18</f>
        <v>4.4444444444444446E-2</v>
      </c>
      <c r="AB5" s="14"/>
    </row>
    <row r="6" spans="2:28" x14ac:dyDescent="0.25">
      <c r="B6" s="14" t="str">
        <f>Sheet1!B7</f>
        <v>Wurmple</v>
      </c>
      <c r="C6" s="6" t="s">
        <v>10</v>
      </c>
      <c r="D6" s="7" t="s">
        <v>297</v>
      </c>
      <c r="E6" s="14"/>
      <c r="H6" s="90" t="s">
        <v>297</v>
      </c>
      <c r="I6" s="90"/>
      <c r="J6" s="14"/>
      <c r="L6" s="94" t="s">
        <v>304</v>
      </c>
      <c r="M6" s="94"/>
      <c r="N6" s="14"/>
      <c r="P6" s="14" t="str">
        <f>Sheet1!P7</f>
        <v>Houndoom</v>
      </c>
      <c r="Q6" s="40" t="s">
        <v>297</v>
      </c>
      <c r="R6" s="42" t="s">
        <v>302</v>
      </c>
      <c r="S6" s="22" t="s">
        <v>304</v>
      </c>
      <c r="V6" s="90" t="s">
        <v>297</v>
      </c>
      <c r="W6" s="90"/>
      <c r="X6" s="14"/>
      <c r="Z6" s="94" t="s">
        <v>304</v>
      </c>
      <c r="AA6" s="94"/>
      <c r="AB6" s="14"/>
    </row>
    <row r="7" spans="2:28" x14ac:dyDescent="0.25">
      <c r="B7" s="14" t="str">
        <f>Sheet1!B8</f>
        <v>Silcoon</v>
      </c>
      <c r="C7" s="6" t="s">
        <v>10</v>
      </c>
      <c r="D7" s="7" t="s">
        <v>297</v>
      </c>
      <c r="E7" s="14"/>
      <c r="H7" s="14" t="s">
        <v>294</v>
      </c>
      <c r="I7" s="14" t="s">
        <v>295</v>
      </c>
      <c r="J7" s="14" t="s">
        <v>9</v>
      </c>
      <c r="L7" s="14" t="s">
        <v>294</v>
      </c>
      <c r="M7" s="14" t="s">
        <v>295</v>
      </c>
      <c r="N7" s="14" t="s">
        <v>9</v>
      </c>
      <c r="P7" s="14" t="str">
        <f>Sheet1!P8</f>
        <v>Delta Kingdra</v>
      </c>
      <c r="Q7" s="40" t="s">
        <v>297</v>
      </c>
      <c r="R7" s="42" t="s">
        <v>302</v>
      </c>
      <c r="S7" s="40" t="s">
        <v>297</v>
      </c>
      <c r="V7" s="14" t="s">
        <v>294</v>
      </c>
      <c r="W7" s="14" t="s">
        <v>295</v>
      </c>
      <c r="X7" s="14" t="s">
        <v>9</v>
      </c>
      <c r="Z7" s="14" t="s">
        <v>294</v>
      </c>
      <c r="AA7" s="14" t="s">
        <v>295</v>
      </c>
      <c r="AB7" s="14" t="s">
        <v>9</v>
      </c>
    </row>
    <row r="8" spans="2:28" x14ac:dyDescent="0.25">
      <c r="B8" s="14" t="str">
        <f>Sheet1!B9</f>
        <v>Beautifly</v>
      </c>
      <c r="C8" s="6" t="s">
        <v>10</v>
      </c>
      <c r="D8" s="4" t="s">
        <v>300</v>
      </c>
      <c r="E8" s="21" t="s">
        <v>302</v>
      </c>
      <c r="F8"/>
      <c r="H8" s="14">
        <f>COUNTIF(D:D,"FIRE")</f>
        <v>23</v>
      </c>
      <c r="I8" s="14">
        <f>COUNTIF(E:E,"FIRE")</f>
        <v>1</v>
      </c>
      <c r="J8" s="14">
        <f>H8+I8</f>
        <v>24</v>
      </c>
      <c r="L8" s="14">
        <f>COUNTIF($D:$D,"PSYCHIC")</f>
        <v>3</v>
      </c>
      <c r="M8" s="14">
        <f>COUNTIF($E:$E,"PSYCHIC")</f>
        <v>2</v>
      </c>
      <c r="N8" s="14">
        <f>L8+M8</f>
        <v>5</v>
      </c>
      <c r="P8" s="14" t="str">
        <f>Sheet1!P9</f>
        <v>Sizzlipede</v>
      </c>
      <c r="Q8" s="40" t="s">
        <v>297</v>
      </c>
      <c r="R8" s="41" t="s">
        <v>298</v>
      </c>
      <c r="V8" s="14">
        <f>COUNTIF(R:R,"FIRE")</f>
        <v>0</v>
      </c>
      <c r="W8" s="14">
        <f>COUNTIF(S:S,"FIRE")</f>
        <v>1</v>
      </c>
      <c r="X8" s="14">
        <f>V8+W8</f>
        <v>1</v>
      </c>
      <c r="Z8" s="14">
        <f>COUNTIF(R:R,"PSYCHIC")</f>
        <v>3</v>
      </c>
      <c r="AA8" s="14">
        <f>COUNTIF(S:S,"PSYCHIC")</f>
        <v>3</v>
      </c>
      <c r="AB8" s="14">
        <f>Z8+AA8</f>
        <v>6</v>
      </c>
    </row>
    <row r="9" spans="2:28" x14ac:dyDescent="0.25">
      <c r="B9" s="14" t="str">
        <f>Sheet1!B10</f>
        <v>Rowlet</v>
      </c>
      <c r="C9" s="6" t="s">
        <v>10</v>
      </c>
      <c r="D9" s="7" t="s">
        <v>297</v>
      </c>
      <c r="E9" s="21" t="s">
        <v>302</v>
      </c>
      <c r="H9" s="39">
        <f>H8/J8</f>
        <v>0.95833333333333337</v>
      </c>
      <c r="I9" s="39">
        <f>I8/J8</f>
        <v>4.1666666666666664E-2</v>
      </c>
      <c r="J9" s="39">
        <f>J8/N18</f>
        <v>0.38095238095238093</v>
      </c>
      <c r="L9" s="39">
        <f>L8/N8</f>
        <v>0.6</v>
      </c>
      <c r="M9" s="39">
        <f>M8/N8</f>
        <v>0.4</v>
      </c>
      <c r="N9" s="39">
        <f>N8/$N$18</f>
        <v>7.9365079365079361E-2</v>
      </c>
      <c r="P9" s="14" t="str">
        <f>Sheet1!P10</f>
        <v>Centiskorch</v>
      </c>
      <c r="Q9" s="40" t="s">
        <v>297</v>
      </c>
      <c r="R9" s="42" t="s">
        <v>302</v>
      </c>
      <c r="S9" s="38" t="s">
        <v>10</v>
      </c>
      <c r="V9" s="39">
        <f>V8/X8</f>
        <v>0</v>
      </c>
      <c r="W9" s="39">
        <f>W8/X8</f>
        <v>1</v>
      </c>
      <c r="X9" s="39">
        <f>X8/AB18</f>
        <v>2.2222222222222223E-2</v>
      </c>
      <c r="Z9" s="39">
        <f>Z8/AB8</f>
        <v>0.5</v>
      </c>
      <c r="AA9" s="39">
        <f>AA8/AB8</f>
        <v>0.5</v>
      </c>
      <c r="AB9" s="39">
        <f>AB8/$N$18</f>
        <v>9.5238095238095233E-2</v>
      </c>
    </row>
    <row r="10" spans="2:28" x14ac:dyDescent="0.25">
      <c r="B10" s="14" t="str">
        <f>Sheet1!B11</f>
        <v>Dartrix</v>
      </c>
      <c r="C10" s="6" t="s">
        <v>10</v>
      </c>
      <c r="D10" s="7" t="s">
        <v>297</v>
      </c>
      <c r="E10" s="21" t="s">
        <v>302</v>
      </c>
      <c r="G10" s="13" t="s">
        <v>305</v>
      </c>
      <c r="H10" s="39">
        <f>H8/$L$18</f>
        <v>0.63888888888888884</v>
      </c>
      <c r="I10" s="39">
        <f>I8/$M$18</f>
        <v>3.7037037037037035E-2</v>
      </c>
      <c r="J10" s="14"/>
      <c r="K10" s="13" t="s">
        <v>305</v>
      </c>
      <c r="L10" s="39">
        <f>L8/$L$18</f>
        <v>8.3333333333333329E-2</v>
      </c>
      <c r="M10" s="39">
        <f>M8/$M$18</f>
        <v>7.407407407407407E-2</v>
      </c>
      <c r="N10" s="14"/>
      <c r="P10" s="14" t="str">
        <f>Sheet1!P11</f>
        <v>Darumaka</v>
      </c>
      <c r="Q10" s="40" t="s">
        <v>297</v>
      </c>
      <c r="R10" s="41" t="s">
        <v>298</v>
      </c>
      <c r="U10" s="13" t="s">
        <v>305</v>
      </c>
      <c r="V10" s="39">
        <f>V8/$AB$18</f>
        <v>0</v>
      </c>
      <c r="W10" s="39">
        <f>W8/$AB$18</f>
        <v>2.2222222222222223E-2</v>
      </c>
      <c r="X10" s="14"/>
      <c r="Y10" s="13" t="s">
        <v>305</v>
      </c>
      <c r="Z10" s="39">
        <f>Z8/$AB$18</f>
        <v>6.6666666666666666E-2</v>
      </c>
      <c r="AA10" s="39">
        <f>AA8/$AB$18</f>
        <v>6.6666666666666666E-2</v>
      </c>
      <c r="AB10" s="14"/>
    </row>
    <row r="11" spans="2:28" x14ac:dyDescent="0.25">
      <c r="B11" s="14" t="str">
        <f>Sheet1!B12</f>
        <v>Decidueye</v>
      </c>
      <c r="C11" s="6" t="s">
        <v>10</v>
      </c>
      <c r="D11" s="7" t="s">
        <v>297</v>
      </c>
      <c r="E11" s="21" t="s">
        <v>302</v>
      </c>
      <c r="H11" s="91" t="s">
        <v>298</v>
      </c>
      <c r="I11" s="91"/>
      <c r="J11" s="14"/>
      <c r="L11" s="95" t="s">
        <v>299</v>
      </c>
      <c r="M11" s="95"/>
      <c r="N11" s="14"/>
      <c r="P11" s="14" t="str">
        <f>Sheet1!P12</f>
        <v>Darmanitan</v>
      </c>
      <c r="Q11" s="40" t="s">
        <v>297</v>
      </c>
      <c r="R11" s="41" t="s">
        <v>298</v>
      </c>
      <c r="S11" s="38" t="s">
        <v>10</v>
      </c>
      <c r="V11" s="91" t="s">
        <v>298</v>
      </c>
      <c r="W11" s="91"/>
      <c r="X11" s="14"/>
      <c r="Z11" s="95" t="s">
        <v>299</v>
      </c>
      <c r="AA11" s="95"/>
      <c r="AB11" s="14"/>
    </row>
    <row r="12" spans="2:28" x14ac:dyDescent="0.25">
      <c r="B12" s="14" t="str">
        <f>Sheet1!B13</f>
        <v>Shellmet</v>
      </c>
      <c r="C12" s="6" t="s">
        <v>10</v>
      </c>
      <c r="D12" s="7" t="s">
        <v>297</v>
      </c>
      <c r="E12" s="14"/>
      <c r="H12" s="14" t="s">
        <v>294</v>
      </c>
      <c r="I12" s="14" t="s">
        <v>295</v>
      </c>
      <c r="J12" s="14" t="s">
        <v>9</v>
      </c>
      <c r="L12" s="14" t="s">
        <v>294</v>
      </c>
      <c r="M12" s="14" t="s">
        <v>295</v>
      </c>
      <c r="N12" s="14" t="s">
        <v>9</v>
      </c>
      <c r="P12" s="14" t="str">
        <f>Sheet1!P13</f>
        <v>Littleo</v>
      </c>
      <c r="Q12" s="40" t="s">
        <v>297</v>
      </c>
      <c r="R12" s="42" t="s">
        <v>302</v>
      </c>
      <c r="S12" s="22" t="s">
        <v>304</v>
      </c>
      <c r="V12" s="14" t="s">
        <v>294</v>
      </c>
      <c r="W12" s="14" t="s">
        <v>295</v>
      </c>
      <c r="X12" s="14" t="s">
        <v>9</v>
      </c>
      <c r="Z12" s="14" t="s">
        <v>294</v>
      </c>
      <c r="AA12" s="14" t="s">
        <v>295</v>
      </c>
      <c r="AB12" s="14" t="s">
        <v>9</v>
      </c>
    </row>
    <row r="13" spans="2:28" x14ac:dyDescent="0.25">
      <c r="B13" s="14" t="str">
        <f>Sheet1!B14</f>
        <v>Accelgor</v>
      </c>
      <c r="C13" s="6" t="s">
        <v>10</v>
      </c>
      <c r="D13" s="7" t="s">
        <v>297</v>
      </c>
      <c r="E13" s="6" t="s">
        <v>303</v>
      </c>
      <c r="H13" s="14">
        <f>COUNTIF(D:D,"WATER")</f>
        <v>3</v>
      </c>
      <c r="I13" s="14">
        <f>COUNTIF(E:E,"WATER")</f>
        <v>9</v>
      </c>
      <c r="J13" s="14">
        <f>H13+I13</f>
        <v>12</v>
      </c>
      <c r="L13" s="14">
        <f>COUNTIF($D:$D,"DARKNESS")</f>
        <v>1</v>
      </c>
      <c r="M13" s="14">
        <f>COUNTIF($E:$E,"DARKNESS")</f>
        <v>1</v>
      </c>
      <c r="N13" s="14">
        <f>L13+M13</f>
        <v>2</v>
      </c>
      <c r="P13" s="14" t="str">
        <f>Sheet1!P14</f>
        <v>Pyroar</v>
      </c>
      <c r="Q13" s="40" t="s">
        <v>297</v>
      </c>
      <c r="R13" s="42" t="s">
        <v>302</v>
      </c>
      <c r="S13" s="22" t="s">
        <v>304</v>
      </c>
      <c r="V13" s="14">
        <f>COUNTIF(R:R,"WATER")</f>
        <v>17</v>
      </c>
      <c r="W13" s="14">
        <f>COUNTIF(S:S,"WATER")</f>
        <v>0</v>
      </c>
      <c r="X13" s="14">
        <f>V13+W13</f>
        <v>17</v>
      </c>
      <c r="Z13" s="14">
        <f>COUNTIF(R:R,"DARKNESS")</f>
        <v>0</v>
      </c>
      <c r="AA13" s="14">
        <f>COUNTIF(S:S,"DARKNESS")</f>
        <v>0</v>
      </c>
      <c r="AB13" s="14">
        <f>Z13+AA13</f>
        <v>0</v>
      </c>
    </row>
    <row r="14" spans="2:28" x14ac:dyDescent="0.25">
      <c r="B14" s="14" t="str">
        <f>Sheet1!B15</f>
        <v>Volbeat</v>
      </c>
      <c r="C14" s="6" t="s">
        <v>10</v>
      </c>
      <c r="D14" s="7" t="s">
        <v>297</v>
      </c>
      <c r="E14" s="6" t="s">
        <v>303</v>
      </c>
      <c r="H14" s="39">
        <f>H13/J13</f>
        <v>0.25</v>
      </c>
      <c r="I14" s="39">
        <f>I13/J13</f>
        <v>0.75</v>
      </c>
      <c r="J14" s="39">
        <f>J13/$N$18</f>
        <v>0.19047619047619047</v>
      </c>
      <c r="L14" s="39">
        <f>L13/N13</f>
        <v>0.5</v>
      </c>
      <c r="M14" s="39">
        <f>M13/N13</f>
        <v>0.5</v>
      </c>
      <c r="N14" s="39">
        <f>N13/$N$18</f>
        <v>3.1746031746031744E-2</v>
      </c>
      <c r="P14" s="14" t="str">
        <f>Sheet1!P15</f>
        <v>Numel</v>
      </c>
      <c r="Q14" s="40" t="s">
        <v>297</v>
      </c>
      <c r="R14" s="41" t="s">
        <v>298</v>
      </c>
      <c r="V14" s="39">
        <f>V13/X13</f>
        <v>1</v>
      </c>
      <c r="W14" s="39">
        <f>W13/X13</f>
        <v>0</v>
      </c>
      <c r="X14" s="39">
        <f>X13/$N$18</f>
        <v>0.26984126984126983</v>
      </c>
      <c r="Z14" s="39" t="e">
        <f>Z13/AB13</f>
        <v>#DIV/0!</v>
      </c>
      <c r="AA14" s="39" t="e">
        <f>AA13/AB13</f>
        <v>#DIV/0!</v>
      </c>
      <c r="AB14" s="39">
        <f>AB13/$N$18</f>
        <v>0</v>
      </c>
    </row>
    <row r="15" spans="2:28" x14ac:dyDescent="0.25">
      <c r="B15" s="14" t="str">
        <f>Sheet1!B16</f>
        <v>Illumise</v>
      </c>
      <c r="C15" s="6" t="s">
        <v>10</v>
      </c>
      <c r="D15" s="7" t="s">
        <v>297</v>
      </c>
      <c r="E15" s="6" t="s">
        <v>303</v>
      </c>
      <c r="G15" s="13" t="s">
        <v>305</v>
      </c>
      <c r="H15" s="39">
        <f>H13/$L$18</f>
        <v>8.3333333333333329E-2</v>
      </c>
      <c r="I15" s="39">
        <f>I13/$M$18</f>
        <v>0.33333333333333331</v>
      </c>
      <c r="J15" s="14"/>
      <c r="K15" s="13" t="s">
        <v>305</v>
      </c>
      <c r="L15" s="39">
        <f>L13/$L$18</f>
        <v>2.7777777777777776E-2</v>
      </c>
      <c r="M15" s="39">
        <f>M13/$M$18</f>
        <v>3.7037037037037035E-2</v>
      </c>
      <c r="N15" s="14"/>
      <c r="P15" s="14" t="str">
        <f>Sheet1!P16</f>
        <v>Camerupt</v>
      </c>
      <c r="Q15" s="40" t="s">
        <v>297</v>
      </c>
      <c r="R15" s="41" t="s">
        <v>298</v>
      </c>
      <c r="S15" s="4" t="s">
        <v>300</v>
      </c>
      <c r="U15" s="13" t="s">
        <v>305</v>
      </c>
      <c r="V15" s="39">
        <f>V13/$AB$18</f>
        <v>0.37777777777777777</v>
      </c>
      <c r="W15" s="39">
        <f>W13/$AB$18</f>
        <v>0</v>
      </c>
      <c r="X15" s="14"/>
      <c r="Y15" s="13" t="s">
        <v>305</v>
      </c>
      <c r="Z15" s="39">
        <f>Z13/$AB$18</f>
        <v>0</v>
      </c>
      <c r="AA15" s="39">
        <f>AA13/$AB$18</f>
        <v>0</v>
      </c>
      <c r="AB15" s="14"/>
    </row>
    <row r="16" spans="2:28" x14ac:dyDescent="0.25">
      <c r="B16" s="14" t="str">
        <f>Sheet1!B17</f>
        <v>Karrablast</v>
      </c>
      <c r="C16" s="6" t="s">
        <v>10</v>
      </c>
      <c r="D16" s="7" t="s">
        <v>297</v>
      </c>
      <c r="E16" s="14"/>
      <c r="H16" s="92" t="s">
        <v>300</v>
      </c>
      <c r="I16" s="92"/>
      <c r="J16" s="14"/>
      <c r="L16" s="96" t="s">
        <v>301</v>
      </c>
      <c r="M16" s="96"/>
      <c r="N16" s="14"/>
      <c r="P16" s="14" t="str">
        <f>Sheet1!P17</f>
        <v>Flareon</v>
      </c>
      <c r="Q16" s="40" t="s">
        <v>297</v>
      </c>
      <c r="R16" s="41" t="s">
        <v>298</v>
      </c>
      <c r="S16" s="38" t="s">
        <v>10</v>
      </c>
      <c r="V16" s="92" t="s">
        <v>300</v>
      </c>
      <c r="W16" s="92"/>
      <c r="X16" s="14"/>
      <c r="Z16" s="96" t="s">
        <v>301</v>
      </c>
      <c r="AA16" s="96"/>
      <c r="AB16" s="14"/>
    </row>
    <row r="17" spans="2:28" x14ac:dyDescent="0.25">
      <c r="B17" s="14" t="str">
        <f>Sheet1!B18</f>
        <v>Escavalier</v>
      </c>
      <c r="C17" s="6" t="s">
        <v>10</v>
      </c>
      <c r="D17" s="7" t="s">
        <v>297</v>
      </c>
      <c r="E17" s="6" t="s">
        <v>303</v>
      </c>
      <c r="H17" s="14" t="s">
        <v>294</v>
      </c>
      <c r="I17" s="14" t="s">
        <v>295</v>
      </c>
      <c r="J17" s="14" t="s">
        <v>9</v>
      </c>
      <c r="L17" s="14" t="s">
        <v>294</v>
      </c>
      <c r="M17" s="14" t="s">
        <v>295</v>
      </c>
      <c r="N17" s="14" t="s">
        <v>9</v>
      </c>
      <c r="P17" s="14" t="str">
        <f>Sheet1!P18</f>
        <v>Turtonator</v>
      </c>
      <c r="Q17" s="40" t="s">
        <v>297</v>
      </c>
      <c r="R17" s="42" t="s">
        <v>302</v>
      </c>
      <c r="S17" s="4" t="s">
        <v>300</v>
      </c>
      <c r="V17" s="14" t="s">
        <v>294</v>
      </c>
      <c r="W17" s="14" t="s">
        <v>295</v>
      </c>
      <c r="X17" s="14" t="s">
        <v>9</v>
      </c>
      <c r="Z17" s="14" t="s">
        <v>294</v>
      </c>
      <c r="AA17" s="14" t="s">
        <v>295</v>
      </c>
      <c r="AB17" s="14" t="s">
        <v>9</v>
      </c>
    </row>
    <row r="18" spans="2:28" x14ac:dyDescent="0.25">
      <c r="B18" s="14" t="str">
        <f>Sheet1!B19</f>
        <v>Applin</v>
      </c>
      <c r="C18" s="6" t="s">
        <v>10</v>
      </c>
      <c r="D18" s="8" t="s">
        <v>298</v>
      </c>
      <c r="E18" s="14"/>
      <c r="H18" s="14">
        <f>COUNTIF($D:$D,"LIGHTNING")</f>
        <v>4</v>
      </c>
      <c r="I18" s="14">
        <f>COUNTIF($E:$E,"LIGHTNING")</f>
        <v>2</v>
      </c>
      <c r="J18" s="14">
        <f>H18+I18</f>
        <v>6</v>
      </c>
      <c r="L18" s="14">
        <f>H3+L3+H8+L8+H13+L13+H18</f>
        <v>36</v>
      </c>
      <c r="M18" s="14">
        <f>I3+M3+I8+M8+I13+M13+I18</f>
        <v>27</v>
      </c>
      <c r="N18" s="14">
        <f>L18+M18</f>
        <v>63</v>
      </c>
      <c r="P18" s="14" t="str">
        <f>Sheet1!P19</f>
        <v>Entei</v>
      </c>
      <c r="Q18" s="40" t="s">
        <v>297</v>
      </c>
      <c r="V18" s="14">
        <f>COUNTIF(R:R,"LIGHTNING")</f>
        <v>0</v>
      </c>
      <c r="W18" s="14">
        <f>COUNTIF(S:S,"LIGHTNING")</f>
        <v>3</v>
      </c>
      <c r="X18" s="14">
        <f>V18+W18</f>
        <v>3</v>
      </c>
      <c r="Z18" s="14">
        <f>V3+Z3+V8+Z8+V13+Z13+V18</f>
        <v>26</v>
      </c>
      <c r="AA18" s="14">
        <f>W3+AA3+W8+AA8+W13+AA13+W18</f>
        <v>19</v>
      </c>
      <c r="AB18" s="14">
        <f>Z18+AA18</f>
        <v>45</v>
      </c>
    </row>
    <row r="19" spans="2:28" x14ac:dyDescent="0.25">
      <c r="B19" s="14" t="str">
        <f>Sheet1!B20</f>
        <v>Flapple</v>
      </c>
      <c r="C19" s="6" t="s">
        <v>10</v>
      </c>
      <c r="D19" s="8" t="s">
        <v>298</v>
      </c>
      <c r="E19" s="6" t="s">
        <v>303</v>
      </c>
      <c r="H19" s="39">
        <f>H18/J18</f>
        <v>0.66666666666666663</v>
      </c>
      <c r="I19" s="39">
        <f>I18/J18</f>
        <v>0.33333333333333331</v>
      </c>
      <c r="J19" s="39">
        <f>J18/$N$18</f>
        <v>9.5238095238095233E-2</v>
      </c>
      <c r="L19" s="39">
        <f>L18/N18</f>
        <v>0.5714285714285714</v>
      </c>
      <c r="M19" s="39">
        <f>M18/N18</f>
        <v>0.42857142857142855</v>
      </c>
      <c r="N19" s="14"/>
      <c r="P19" s="14" t="str">
        <f>Sheet1!P20</f>
        <v>Fuecoco</v>
      </c>
      <c r="Q19" s="40" t="s">
        <v>297</v>
      </c>
      <c r="R19" s="41" t="s">
        <v>298</v>
      </c>
      <c r="S19" s="38" t="s">
        <v>10</v>
      </c>
      <c r="V19" s="39">
        <f>V18/X18</f>
        <v>0</v>
      </c>
      <c r="W19" s="39">
        <f>W18/X18</f>
        <v>1</v>
      </c>
      <c r="X19" s="39">
        <f>X18/$N$18</f>
        <v>4.7619047619047616E-2</v>
      </c>
      <c r="Z19" s="39">
        <f>Z18/AB18</f>
        <v>0.57777777777777772</v>
      </c>
      <c r="AA19" s="39">
        <f>AA18/AB18</f>
        <v>0.42222222222222222</v>
      </c>
      <c r="AB19" s="14"/>
    </row>
    <row r="20" spans="2:28" x14ac:dyDescent="0.25">
      <c r="B20" s="14" t="str">
        <f>Sheet1!B21</f>
        <v>Appletune</v>
      </c>
      <c r="C20" s="6" t="s">
        <v>10</v>
      </c>
      <c r="D20" s="8" t="s">
        <v>298</v>
      </c>
      <c r="E20" s="7" t="s">
        <v>297</v>
      </c>
      <c r="G20" s="13" t="s">
        <v>305</v>
      </c>
      <c r="H20" s="39">
        <f>H18/$L$18</f>
        <v>0.1111111111111111</v>
      </c>
      <c r="I20" s="39">
        <f>I18/$M$18</f>
        <v>7.407407407407407E-2</v>
      </c>
      <c r="J20" s="14"/>
      <c r="P20" s="14" t="str">
        <f>Sheet1!P21</f>
        <v>Crocalor</v>
      </c>
      <c r="Q20" s="40" t="s">
        <v>297</v>
      </c>
      <c r="R20" s="41" t="s">
        <v>298</v>
      </c>
      <c r="S20" s="38" t="s">
        <v>10</v>
      </c>
      <c r="U20" s="13" t="s">
        <v>305</v>
      </c>
      <c r="V20" s="39">
        <f>V18/$AB$18</f>
        <v>0</v>
      </c>
      <c r="W20" s="39">
        <f>W18/$AB$18</f>
        <v>6.6666666666666666E-2</v>
      </c>
      <c r="X20" s="14"/>
    </row>
    <row r="21" spans="2:28" x14ac:dyDescent="0.25">
      <c r="B21" s="14" t="str">
        <f>Sheet1!B22</f>
        <v>Shroomish</v>
      </c>
      <c r="C21" s="6" t="s">
        <v>10</v>
      </c>
      <c r="D21" s="7" t="s">
        <v>297</v>
      </c>
      <c r="E21" s="14"/>
      <c r="P21" s="14" t="str">
        <f>Sheet1!P22</f>
        <v>Skeledirge</v>
      </c>
      <c r="Q21" s="40" t="s">
        <v>297</v>
      </c>
      <c r="R21" s="41" t="s">
        <v>298</v>
      </c>
      <c r="S21" s="38" t="s">
        <v>10</v>
      </c>
    </row>
    <row r="22" spans="2:28" x14ac:dyDescent="0.25">
      <c r="B22" s="14" t="str">
        <f>Sheet1!B23</f>
        <v>Breloom</v>
      </c>
      <c r="C22" s="6" t="s">
        <v>10</v>
      </c>
      <c r="D22" s="22" t="s">
        <v>304</v>
      </c>
      <c r="E22" s="27" t="s">
        <v>299</v>
      </c>
      <c r="P22" s="14" t="str">
        <f>Sheet1!P23</f>
        <v>Bagon</v>
      </c>
      <c r="Q22" s="40" t="s">
        <v>297</v>
      </c>
      <c r="R22" s="41" t="s">
        <v>298</v>
      </c>
    </row>
    <row r="23" spans="2:28" x14ac:dyDescent="0.25">
      <c r="B23" s="14" t="str">
        <f>Sheet1!B24</f>
        <v>Yanma</v>
      </c>
      <c r="C23" s="6" t="s">
        <v>10</v>
      </c>
      <c r="D23" s="4" t="s">
        <v>300</v>
      </c>
      <c r="E23" s="21" t="s">
        <v>302</v>
      </c>
      <c r="P23" s="14" t="str">
        <f>Sheet1!P24</f>
        <v>Shelgon</v>
      </c>
      <c r="Q23" s="40" t="s">
        <v>297</v>
      </c>
      <c r="R23" s="41" t="s">
        <v>298</v>
      </c>
      <c r="S23" s="38" t="s">
        <v>10</v>
      </c>
    </row>
    <row r="24" spans="2:28" x14ac:dyDescent="0.25">
      <c r="B24" s="14" t="str">
        <f>Sheet1!B25</f>
        <v>Yanmega</v>
      </c>
      <c r="C24" s="6" t="s">
        <v>10</v>
      </c>
      <c r="D24" s="4" t="s">
        <v>300</v>
      </c>
      <c r="E24" s="21" t="s">
        <v>302</v>
      </c>
      <c r="P24" s="14" t="str">
        <f>Sheet1!P25</f>
        <v>Salamence</v>
      </c>
      <c r="Q24" s="40" t="s">
        <v>297</v>
      </c>
      <c r="R24" s="41" t="s">
        <v>298</v>
      </c>
      <c r="S24" s="42" t="s">
        <v>302</v>
      </c>
    </row>
    <row r="25" spans="2:28" x14ac:dyDescent="0.25">
      <c r="B25" s="14" t="str">
        <f>Sheet1!B26</f>
        <v>Bounsweet</v>
      </c>
      <c r="C25" s="6" t="s">
        <v>10</v>
      </c>
      <c r="D25" s="7" t="s">
        <v>297</v>
      </c>
      <c r="E25" s="8" t="s">
        <v>298</v>
      </c>
      <c r="P25" s="14" t="str">
        <f>Sheet1!P26</f>
        <v>Druddigon</v>
      </c>
      <c r="Q25" s="40" t="s">
        <v>297</v>
      </c>
      <c r="R25" s="41" t="s">
        <v>298</v>
      </c>
      <c r="S25" s="4" t="s">
        <v>300</v>
      </c>
    </row>
    <row r="26" spans="2:28" x14ac:dyDescent="0.25">
      <c r="B26" s="14" t="str">
        <f>Sheet1!B27</f>
        <v>Steenee</v>
      </c>
      <c r="C26" s="6" t="s">
        <v>10</v>
      </c>
      <c r="D26" s="7" t="s">
        <v>297</v>
      </c>
      <c r="E26" s="8" t="s">
        <v>298</v>
      </c>
      <c r="P26" s="14" t="str">
        <f>Sheet1!P27</f>
        <v>Magby</v>
      </c>
      <c r="Q26" s="40" t="s">
        <v>297</v>
      </c>
    </row>
    <row r="27" spans="2:28" x14ac:dyDescent="0.25">
      <c r="B27" s="14" t="str">
        <f>Sheet1!B28</f>
        <v>Tsareena</v>
      </c>
      <c r="C27" s="6" t="s">
        <v>10</v>
      </c>
      <c r="D27" s="7" t="s">
        <v>297</v>
      </c>
      <c r="E27" s="8" t="s">
        <v>298</v>
      </c>
      <c r="P27" s="14" t="str">
        <f>Sheet1!P28</f>
        <v>Magmar</v>
      </c>
      <c r="Q27" s="40" t="s">
        <v>297</v>
      </c>
    </row>
    <row r="28" spans="2:28" x14ac:dyDescent="0.25">
      <c r="B28" s="14" t="str">
        <f>Sheet1!B29</f>
        <v>Phantump</v>
      </c>
      <c r="C28" s="6" t="s">
        <v>10</v>
      </c>
      <c r="D28" s="22" t="s">
        <v>304</v>
      </c>
      <c r="E28" s="14"/>
      <c r="P28" s="14" t="str">
        <f>Sheet1!P29</f>
        <v>Magmortar</v>
      </c>
      <c r="Q28" s="40" t="s">
        <v>297</v>
      </c>
    </row>
    <row r="29" spans="2:28" x14ac:dyDescent="0.25">
      <c r="B29" s="14" t="str">
        <f>Sheet1!B30</f>
        <v>Trevenant</v>
      </c>
      <c r="C29" s="6" t="s">
        <v>10</v>
      </c>
      <c r="D29" s="22" t="s">
        <v>304</v>
      </c>
      <c r="E29" s="21" t="s">
        <v>302</v>
      </c>
      <c r="P29" s="14" t="str">
        <f>Sheet1!P30</f>
        <v>Ho-oH</v>
      </c>
      <c r="Q29" s="40" t="s">
        <v>297</v>
      </c>
    </row>
    <row r="30" spans="2:28" x14ac:dyDescent="0.25">
      <c r="B30" s="14" t="str">
        <f>Sheet1!B31</f>
        <v>Snover</v>
      </c>
      <c r="C30" s="6" t="s">
        <v>10</v>
      </c>
      <c r="D30" s="21" t="s">
        <v>302</v>
      </c>
      <c r="E30" s="8" t="s">
        <v>298</v>
      </c>
      <c r="P30" s="14" t="str">
        <f>Sheet1!P31</f>
        <v>Litwick</v>
      </c>
      <c r="Q30" s="40" t="s">
        <v>297</v>
      </c>
      <c r="R30" s="22" t="s">
        <v>304</v>
      </c>
    </row>
    <row r="31" spans="2:28" x14ac:dyDescent="0.25">
      <c r="B31" s="14" t="str">
        <f>Sheet1!B32</f>
        <v>Abomasnow</v>
      </c>
      <c r="C31" s="6" t="s">
        <v>10</v>
      </c>
      <c r="D31" s="21" t="s">
        <v>302</v>
      </c>
      <c r="E31" s="8" t="s">
        <v>298</v>
      </c>
      <c r="P31" s="14" t="str">
        <f>Sheet1!P32</f>
        <v>Lampent</v>
      </c>
      <c r="Q31" s="40" t="s">
        <v>297</v>
      </c>
      <c r="R31" s="22" t="s">
        <v>304</v>
      </c>
    </row>
    <row r="32" spans="2:28" x14ac:dyDescent="0.25">
      <c r="B32" s="14" t="str">
        <f>Sheet1!B33</f>
        <v>Ferroseed</v>
      </c>
      <c r="C32" s="6" t="s">
        <v>10</v>
      </c>
      <c r="D32" s="7" t="s">
        <v>297</v>
      </c>
      <c r="E32" s="22" t="s">
        <v>304</v>
      </c>
      <c r="P32" s="14" t="str">
        <f>Sheet1!P33</f>
        <v>Chandelure</v>
      </c>
      <c r="Q32" s="40" t="s">
        <v>297</v>
      </c>
      <c r="R32" s="22" t="s">
        <v>304</v>
      </c>
      <c r="S32" s="42" t="s">
        <v>302</v>
      </c>
    </row>
    <row r="33" spans="2:18" x14ac:dyDescent="0.25">
      <c r="B33" s="14" t="str">
        <f>Sheet1!B34</f>
        <v>Ferrothorn</v>
      </c>
      <c r="C33" s="6" t="s">
        <v>10</v>
      </c>
      <c r="D33" s="7" t="s">
        <v>297</v>
      </c>
      <c r="E33" s="22" t="s">
        <v>304</v>
      </c>
    </row>
    <row r="34" spans="2:18" x14ac:dyDescent="0.25">
      <c r="B34" s="14" t="str">
        <f>Sheet1!B35</f>
        <v>Tangela</v>
      </c>
      <c r="C34" s="6" t="s">
        <v>10</v>
      </c>
      <c r="D34" s="7" t="s">
        <v>297</v>
      </c>
      <c r="E34" s="14"/>
    </row>
    <row r="35" spans="2:18" x14ac:dyDescent="0.25">
      <c r="B35" s="14" t="str">
        <f>Sheet1!B36</f>
        <v>Tangrowth</v>
      </c>
      <c r="C35" s="6" t="s">
        <v>10</v>
      </c>
      <c r="D35" s="7" t="s">
        <v>297</v>
      </c>
      <c r="E35" s="8" t="s">
        <v>298</v>
      </c>
    </row>
    <row r="36" spans="2:18" x14ac:dyDescent="0.25">
      <c r="B36" s="14" t="str">
        <f>Sheet1!B37</f>
        <v>Scyther</v>
      </c>
      <c r="C36" s="6" t="s">
        <v>10</v>
      </c>
      <c r="D36" s="4" t="s">
        <v>300</v>
      </c>
      <c r="E36" s="14"/>
    </row>
    <row r="37" spans="2:18" x14ac:dyDescent="0.25">
      <c r="B37" s="14" t="str">
        <f>Sheet1!B38</f>
        <v>Leafeon</v>
      </c>
      <c r="C37" s="6" t="s">
        <v>10</v>
      </c>
      <c r="D37" s="7" t="s">
        <v>297</v>
      </c>
      <c r="E37" s="4" t="s">
        <v>300</v>
      </c>
    </row>
    <row r="41" spans="2:18" x14ac:dyDescent="0.25">
      <c r="G41" s="13" t="s">
        <v>308</v>
      </c>
      <c r="H41" s="13" t="s">
        <v>308</v>
      </c>
      <c r="I41" s="13" t="s">
        <v>308</v>
      </c>
      <c r="J41" s="13" t="s">
        <v>308</v>
      </c>
      <c r="K41" s="13" t="s">
        <v>308</v>
      </c>
      <c r="L41" s="13" t="s">
        <v>308</v>
      </c>
      <c r="M41" s="13" t="s">
        <v>308</v>
      </c>
      <c r="N41" s="13" t="s">
        <v>308</v>
      </c>
      <c r="O41" s="13" t="s">
        <v>308</v>
      </c>
      <c r="P41" s="13" t="s">
        <v>308</v>
      </c>
      <c r="Q41" s="13" t="s">
        <v>308</v>
      </c>
      <c r="R41" s="13" t="s">
        <v>308</v>
      </c>
    </row>
    <row r="42" spans="2:18" x14ac:dyDescent="0.25">
      <c r="G42" s="13" t="s">
        <v>308</v>
      </c>
      <c r="H42" s="13" t="s">
        <v>308</v>
      </c>
      <c r="I42" s="13" t="s">
        <v>308</v>
      </c>
      <c r="J42" s="13" t="s">
        <v>308</v>
      </c>
      <c r="K42" s="13" t="s">
        <v>308</v>
      </c>
      <c r="L42" s="13" t="s">
        <v>308</v>
      </c>
      <c r="M42" s="13" t="s">
        <v>308</v>
      </c>
      <c r="N42" s="13" t="s">
        <v>308</v>
      </c>
      <c r="O42" s="13" t="s">
        <v>308</v>
      </c>
      <c r="P42" s="13" t="s">
        <v>308</v>
      </c>
      <c r="Q42" s="13" t="s">
        <v>308</v>
      </c>
      <c r="R42" s="13" t="s">
        <v>308</v>
      </c>
    </row>
    <row r="43" spans="2:18" x14ac:dyDescent="0.25">
      <c r="G43" s="13" t="s">
        <v>308</v>
      </c>
      <c r="H43" s="13" t="s">
        <v>308</v>
      </c>
      <c r="I43" s="13" t="s">
        <v>308</v>
      </c>
      <c r="J43" s="13" t="s">
        <v>308</v>
      </c>
      <c r="K43" s="13" t="s">
        <v>308</v>
      </c>
      <c r="L43" s="13" t="s">
        <v>308</v>
      </c>
      <c r="M43" s="13" t="s">
        <v>308</v>
      </c>
      <c r="N43" s="13" t="s">
        <v>308</v>
      </c>
      <c r="O43" s="13" t="s">
        <v>308</v>
      </c>
      <c r="P43" s="13" t="s">
        <v>308</v>
      </c>
      <c r="Q43" s="13" t="s">
        <v>308</v>
      </c>
      <c r="R43" s="13" t="s">
        <v>308</v>
      </c>
    </row>
    <row r="44" spans="2:18" x14ac:dyDescent="0.25">
      <c r="G44" s="13" t="s">
        <v>308</v>
      </c>
      <c r="H44" s="13" t="s">
        <v>308</v>
      </c>
      <c r="I44" s="13" t="s">
        <v>308</v>
      </c>
      <c r="J44" s="13" t="s">
        <v>308</v>
      </c>
      <c r="K44" s="13" t="s">
        <v>308</v>
      </c>
      <c r="L44" s="13" t="s">
        <v>308</v>
      </c>
      <c r="M44" s="13" t="s">
        <v>308</v>
      </c>
      <c r="N44" s="13" t="s">
        <v>308</v>
      </c>
      <c r="O44" s="13" t="s">
        <v>308</v>
      </c>
      <c r="P44" s="13" t="s">
        <v>308</v>
      </c>
      <c r="Q44" s="13" t="s">
        <v>308</v>
      </c>
      <c r="R44" s="13" t="s">
        <v>308</v>
      </c>
    </row>
    <row r="45" spans="2:18" x14ac:dyDescent="0.25">
      <c r="G45" s="13" t="s">
        <v>308</v>
      </c>
      <c r="H45" s="13" t="s">
        <v>308</v>
      </c>
      <c r="I45" s="13" t="s">
        <v>308</v>
      </c>
      <c r="J45" s="13" t="s">
        <v>308</v>
      </c>
      <c r="K45" s="13" t="s">
        <v>308</v>
      </c>
      <c r="L45" s="13" t="s">
        <v>308</v>
      </c>
      <c r="M45" s="13" t="s">
        <v>308</v>
      </c>
      <c r="N45" s="13" t="s">
        <v>308</v>
      </c>
      <c r="O45" s="13" t="s">
        <v>308</v>
      </c>
      <c r="P45" s="13" t="s">
        <v>308</v>
      </c>
      <c r="Q45" s="13" t="s">
        <v>308</v>
      </c>
      <c r="R45" s="13" t="s">
        <v>308</v>
      </c>
    </row>
    <row r="46" spans="2:18" x14ac:dyDescent="0.25">
      <c r="G46" s="13" t="s">
        <v>308</v>
      </c>
      <c r="H46" s="13" t="s">
        <v>308</v>
      </c>
      <c r="I46" s="13" t="s">
        <v>308</v>
      </c>
      <c r="J46" s="13" t="s">
        <v>308</v>
      </c>
      <c r="K46" s="13" t="s">
        <v>308</v>
      </c>
      <c r="L46" s="13" t="s">
        <v>308</v>
      </c>
      <c r="M46" s="13" t="s">
        <v>308</v>
      </c>
      <c r="N46" s="13" t="s">
        <v>308</v>
      </c>
      <c r="O46" s="13" t="s">
        <v>308</v>
      </c>
      <c r="P46" s="13" t="s">
        <v>308</v>
      </c>
      <c r="Q46" s="13" t="s">
        <v>308</v>
      </c>
      <c r="R46" s="13" t="s">
        <v>308</v>
      </c>
    </row>
    <row r="47" spans="2:18" x14ac:dyDescent="0.25">
      <c r="G47" s="13" t="s">
        <v>308</v>
      </c>
      <c r="H47" s="13" t="s">
        <v>308</v>
      </c>
      <c r="I47" s="13" t="s">
        <v>308</v>
      </c>
      <c r="J47" s="13" t="s">
        <v>308</v>
      </c>
      <c r="K47" s="13" t="s">
        <v>308</v>
      </c>
      <c r="L47" s="13" t="s">
        <v>308</v>
      </c>
      <c r="M47" s="13" t="s">
        <v>308</v>
      </c>
      <c r="N47" s="13" t="s">
        <v>308</v>
      </c>
      <c r="O47" s="13" t="s">
        <v>308</v>
      </c>
      <c r="P47" s="13" t="s">
        <v>308</v>
      </c>
      <c r="Q47" s="13" t="s">
        <v>308</v>
      </c>
      <c r="R47" s="13" t="s">
        <v>308</v>
      </c>
    </row>
    <row r="48" spans="2:18" x14ac:dyDescent="0.25">
      <c r="G48" s="13" t="s">
        <v>308</v>
      </c>
      <c r="H48" s="13" t="s">
        <v>308</v>
      </c>
      <c r="I48" s="13" t="s">
        <v>308</v>
      </c>
      <c r="J48" s="13" t="s">
        <v>308</v>
      </c>
      <c r="K48" s="13" t="s">
        <v>308</v>
      </c>
      <c r="L48" s="13" t="s">
        <v>308</v>
      </c>
      <c r="M48" s="13" t="s">
        <v>308</v>
      </c>
      <c r="N48" s="13" t="s">
        <v>308</v>
      </c>
      <c r="O48" s="13" t="s">
        <v>308</v>
      </c>
      <c r="P48" s="13" t="s">
        <v>308</v>
      </c>
      <c r="Q48" s="13" t="s">
        <v>308</v>
      </c>
      <c r="R48" s="13" t="s">
        <v>308</v>
      </c>
    </row>
    <row r="49" spans="7:18" x14ac:dyDescent="0.25">
      <c r="G49" s="13" t="s">
        <v>308</v>
      </c>
      <c r="H49" s="13" t="s">
        <v>308</v>
      </c>
      <c r="I49" s="13" t="s">
        <v>308</v>
      </c>
      <c r="J49" s="13" t="s">
        <v>308</v>
      </c>
      <c r="K49" s="13" t="s">
        <v>308</v>
      </c>
      <c r="L49" s="13" t="s">
        <v>308</v>
      </c>
      <c r="M49" s="13" t="s">
        <v>308</v>
      </c>
      <c r="N49" s="13" t="s">
        <v>308</v>
      </c>
      <c r="O49" s="13" t="s">
        <v>308</v>
      </c>
      <c r="P49" s="13" t="s">
        <v>308</v>
      </c>
      <c r="Q49" s="13" t="s">
        <v>308</v>
      </c>
      <c r="R49" s="13" t="s">
        <v>308</v>
      </c>
    </row>
    <row r="50" spans="7:18" x14ac:dyDescent="0.25">
      <c r="G50" s="13" t="s">
        <v>308</v>
      </c>
      <c r="H50" s="13" t="s">
        <v>308</v>
      </c>
      <c r="I50" s="13" t="s">
        <v>308</v>
      </c>
      <c r="J50" s="13" t="s">
        <v>308</v>
      </c>
      <c r="K50" s="13" t="s">
        <v>308</v>
      </c>
      <c r="L50" s="13" t="s">
        <v>308</v>
      </c>
      <c r="M50" s="13" t="s">
        <v>308</v>
      </c>
      <c r="N50" s="13" t="s">
        <v>308</v>
      </c>
      <c r="O50" s="13" t="s">
        <v>308</v>
      </c>
      <c r="P50" s="13" t="s">
        <v>308</v>
      </c>
      <c r="Q50" s="13" t="s">
        <v>308</v>
      </c>
      <c r="R50" s="13" t="s">
        <v>308</v>
      </c>
    </row>
    <row r="51" spans="7:18" x14ac:dyDescent="0.25">
      <c r="G51" s="13" t="s">
        <v>308</v>
      </c>
      <c r="H51" s="13" t="s">
        <v>308</v>
      </c>
      <c r="I51" s="13" t="s">
        <v>308</v>
      </c>
      <c r="J51" s="13" t="s">
        <v>308</v>
      </c>
      <c r="K51" s="13" t="s">
        <v>308</v>
      </c>
      <c r="L51" s="13" t="s">
        <v>308</v>
      </c>
      <c r="M51" s="13" t="s">
        <v>308</v>
      </c>
      <c r="N51" s="13" t="s">
        <v>308</v>
      </c>
      <c r="O51" s="13" t="s">
        <v>308</v>
      </c>
      <c r="P51" s="13" t="s">
        <v>308</v>
      </c>
      <c r="Q51" s="13" t="s">
        <v>308</v>
      </c>
      <c r="R51" s="13" t="s">
        <v>308</v>
      </c>
    </row>
    <row r="52" spans="7:18" x14ac:dyDescent="0.25">
      <c r="G52" s="13" t="s">
        <v>308</v>
      </c>
      <c r="H52" s="13" t="s">
        <v>308</v>
      </c>
      <c r="I52" s="13" t="s">
        <v>308</v>
      </c>
      <c r="J52" s="13" t="s">
        <v>308</v>
      </c>
      <c r="K52" s="13" t="s">
        <v>308</v>
      </c>
      <c r="L52" s="13" t="s">
        <v>308</v>
      </c>
      <c r="M52" s="13" t="s">
        <v>308</v>
      </c>
      <c r="N52" s="13" t="s">
        <v>308</v>
      </c>
      <c r="O52" s="13" t="s">
        <v>308</v>
      </c>
      <c r="P52" s="13" t="s">
        <v>308</v>
      </c>
      <c r="Q52" s="13" t="s">
        <v>308</v>
      </c>
      <c r="R52" s="13" t="s">
        <v>308</v>
      </c>
    </row>
    <row r="53" spans="7:18" x14ac:dyDescent="0.25">
      <c r="G53" s="13" t="s">
        <v>308</v>
      </c>
      <c r="H53" s="13" t="s">
        <v>308</v>
      </c>
      <c r="I53" s="13" t="s">
        <v>308</v>
      </c>
      <c r="J53" s="13" t="s">
        <v>308</v>
      </c>
      <c r="K53" s="13" t="s">
        <v>308</v>
      </c>
      <c r="L53" s="13" t="s">
        <v>308</v>
      </c>
      <c r="M53" s="13" t="s">
        <v>308</v>
      </c>
      <c r="N53" s="13" t="s">
        <v>308</v>
      </c>
      <c r="O53" s="13" t="s">
        <v>308</v>
      </c>
      <c r="P53" s="13" t="s">
        <v>308</v>
      </c>
      <c r="Q53" s="13" t="s">
        <v>308</v>
      </c>
      <c r="R53" s="13" t="s">
        <v>308</v>
      </c>
    </row>
    <row r="54" spans="7:18" x14ac:dyDescent="0.25">
      <c r="G54" s="13" t="s">
        <v>308</v>
      </c>
      <c r="H54" s="13" t="s">
        <v>308</v>
      </c>
      <c r="I54" s="13" t="s">
        <v>308</v>
      </c>
      <c r="J54" s="13" t="s">
        <v>308</v>
      </c>
      <c r="K54" s="13" t="s">
        <v>308</v>
      </c>
      <c r="L54" s="13" t="s">
        <v>308</v>
      </c>
      <c r="M54" s="13" t="s">
        <v>308</v>
      </c>
      <c r="N54" s="13" t="s">
        <v>308</v>
      </c>
      <c r="O54" s="13" t="s">
        <v>308</v>
      </c>
      <c r="P54" s="13" t="s">
        <v>308</v>
      </c>
      <c r="Q54" s="13" t="s">
        <v>308</v>
      </c>
      <c r="R54" s="13" t="s">
        <v>308</v>
      </c>
    </row>
    <row r="55" spans="7:18" x14ac:dyDescent="0.25">
      <c r="G55" s="13" t="s">
        <v>308</v>
      </c>
      <c r="H55" s="13" t="s">
        <v>308</v>
      </c>
      <c r="I55" s="13" t="s">
        <v>308</v>
      </c>
      <c r="J55" s="13" t="s">
        <v>308</v>
      </c>
      <c r="K55" s="13" t="s">
        <v>308</v>
      </c>
      <c r="L55" s="13" t="s">
        <v>308</v>
      </c>
      <c r="M55" s="13" t="s">
        <v>308</v>
      </c>
      <c r="N55" s="13" t="s">
        <v>308</v>
      </c>
      <c r="O55" s="13" t="s">
        <v>308</v>
      </c>
      <c r="P55" s="13" t="s">
        <v>308</v>
      </c>
      <c r="Q55" s="13" t="s">
        <v>308</v>
      </c>
      <c r="R55" s="13" t="s">
        <v>308</v>
      </c>
    </row>
    <row r="56" spans="7:18" x14ac:dyDescent="0.25">
      <c r="G56" s="13" t="s">
        <v>308</v>
      </c>
      <c r="H56" s="13" t="s">
        <v>308</v>
      </c>
      <c r="I56" s="13" t="s">
        <v>308</v>
      </c>
      <c r="J56" s="13" t="s">
        <v>308</v>
      </c>
      <c r="K56" s="13" t="s">
        <v>308</v>
      </c>
      <c r="L56" s="13" t="s">
        <v>308</v>
      </c>
      <c r="M56" s="13" t="s">
        <v>308</v>
      </c>
      <c r="N56" s="13" t="s">
        <v>308</v>
      </c>
      <c r="O56" s="13" t="s">
        <v>308</v>
      </c>
      <c r="P56" s="13" t="s">
        <v>308</v>
      </c>
      <c r="Q56" s="13" t="s">
        <v>308</v>
      </c>
      <c r="R56" s="13" t="s">
        <v>308</v>
      </c>
    </row>
    <row r="57" spans="7:18" x14ac:dyDescent="0.25">
      <c r="G57" s="13" t="s">
        <v>308</v>
      </c>
      <c r="H57" s="13" t="s">
        <v>308</v>
      </c>
      <c r="I57" s="13" t="s">
        <v>308</v>
      </c>
      <c r="J57" s="13" t="s">
        <v>308</v>
      </c>
      <c r="K57" s="13" t="s">
        <v>308</v>
      </c>
      <c r="L57" s="13" t="s">
        <v>308</v>
      </c>
      <c r="M57" s="13" t="s">
        <v>308</v>
      </c>
      <c r="N57" s="13" t="s">
        <v>308</v>
      </c>
      <c r="O57" s="13" t="s">
        <v>308</v>
      </c>
      <c r="P57" s="13" t="s">
        <v>308</v>
      </c>
      <c r="Q57" s="13" t="s">
        <v>308</v>
      </c>
      <c r="R57" s="13" t="s">
        <v>308</v>
      </c>
    </row>
    <row r="58" spans="7:18" x14ac:dyDescent="0.25">
      <c r="G58" s="13" t="s">
        <v>308</v>
      </c>
      <c r="H58" s="13" t="s">
        <v>308</v>
      </c>
      <c r="I58" s="13" t="s">
        <v>308</v>
      </c>
      <c r="J58" s="13" t="s">
        <v>308</v>
      </c>
      <c r="K58" s="13" t="s">
        <v>308</v>
      </c>
      <c r="L58" s="13" t="s">
        <v>308</v>
      </c>
      <c r="M58" s="13" t="s">
        <v>308</v>
      </c>
      <c r="N58" s="13" t="s">
        <v>308</v>
      </c>
      <c r="O58" s="13" t="s">
        <v>308</v>
      </c>
      <c r="P58" s="13" t="s">
        <v>308</v>
      </c>
      <c r="Q58" s="13" t="s">
        <v>308</v>
      </c>
      <c r="R58" s="13" t="s">
        <v>308</v>
      </c>
    </row>
    <row r="59" spans="7:18" x14ac:dyDescent="0.25">
      <c r="G59" s="13" t="s">
        <v>308</v>
      </c>
      <c r="H59" s="13" t="s">
        <v>308</v>
      </c>
      <c r="I59" s="13" t="s">
        <v>308</v>
      </c>
      <c r="J59" s="13" t="s">
        <v>308</v>
      </c>
      <c r="K59" s="13" t="s">
        <v>308</v>
      </c>
      <c r="L59" s="13" t="s">
        <v>308</v>
      </c>
      <c r="M59" s="13" t="s">
        <v>308</v>
      </c>
      <c r="N59" s="13" t="s">
        <v>308</v>
      </c>
      <c r="O59" s="13" t="s">
        <v>308</v>
      </c>
      <c r="P59" s="13" t="s">
        <v>308</v>
      </c>
      <c r="Q59" s="13" t="s">
        <v>308</v>
      </c>
      <c r="R59" s="13" t="s">
        <v>308</v>
      </c>
    </row>
    <row r="60" spans="7:18" x14ac:dyDescent="0.25">
      <c r="G60" s="13" t="s">
        <v>308</v>
      </c>
      <c r="H60" s="13" t="s">
        <v>308</v>
      </c>
      <c r="I60" s="13" t="s">
        <v>308</v>
      </c>
      <c r="J60" s="13" t="s">
        <v>308</v>
      </c>
      <c r="K60" s="13" t="s">
        <v>308</v>
      </c>
      <c r="L60" s="13" t="s">
        <v>308</v>
      </c>
      <c r="M60" s="13" t="s">
        <v>308</v>
      </c>
      <c r="N60" s="13" t="s">
        <v>308</v>
      </c>
      <c r="O60" s="13" t="s">
        <v>308</v>
      </c>
      <c r="P60" s="13" t="s">
        <v>308</v>
      </c>
      <c r="Q60" s="13" t="s">
        <v>308</v>
      </c>
      <c r="R60" s="13" t="s">
        <v>308</v>
      </c>
    </row>
    <row r="61" spans="7:18" x14ac:dyDescent="0.25">
      <c r="G61" s="13" t="s">
        <v>308</v>
      </c>
      <c r="H61" s="13" t="s">
        <v>308</v>
      </c>
      <c r="I61" s="13" t="s">
        <v>308</v>
      </c>
      <c r="J61" s="13" t="s">
        <v>308</v>
      </c>
      <c r="K61" s="13" t="s">
        <v>308</v>
      </c>
      <c r="L61" s="13" t="s">
        <v>308</v>
      </c>
      <c r="M61" s="13" t="s">
        <v>308</v>
      </c>
      <c r="N61" s="13" t="s">
        <v>308</v>
      </c>
      <c r="O61" s="13" t="s">
        <v>308</v>
      </c>
      <c r="P61" s="13" t="s">
        <v>308</v>
      </c>
      <c r="Q61" s="13" t="s">
        <v>308</v>
      </c>
      <c r="R61" s="13" t="s">
        <v>308</v>
      </c>
    </row>
    <row r="62" spans="7:18" x14ac:dyDescent="0.25">
      <c r="G62" s="13" t="s">
        <v>308</v>
      </c>
      <c r="H62" s="13" t="s">
        <v>308</v>
      </c>
      <c r="I62" s="13" t="s">
        <v>308</v>
      </c>
      <c r="J62" s="13" t="s">
        <v>308</v>
      </c>
      <c r="K62" s="13" t="s">
        <v>308</v>
      </c>
      <c r="L62" s="13" t="s">
        <v>308</v>
      </c>
      <c r="M62" s="13" t="s">
        <v>308</v>
      </c>
      <c r="N62" s="13" t="s">
        <v>308</v>
      </c>
      <c r="O62" s="13" t="s">
        <v>308</v>
      </c>
      <c r="P62" s="13" t="s">
        <v>308</v>
      </c>
      <c r="Q62" s="13" t="s">
        <v>308</v>
      </c>
      <c r="R62" s="13" t="s">
        <v>308</v>
      </c>
    </row>
    <row r="63" spans="7:18" x14ac:dyDescent="0.25">
      <c r="G63" s="13" t="s">
        <v>308</v>
      </c>
      <c r="H63" s="13" t="s">
        <v>308</v>
      </c>
      <c r="I63" s="13" t="s">
        <v>308</v>
      </c>
      <c r="J63" s="13" t="s">
        <v>308</v>
      </c>
      <c r="K63" s="13" t="s">
        <v>308</v>
      </c>
      <c r="L63" s="13" t="s">
        <v>308</v>
      </c>
      <c r="M63" s="13" t="s">
        <v>308</v>
      </c>
      <c r="N63" s="13" t="s">
        <v>308</v>
      </c>
      <c r="O63" s="13" t="s">
        <v>308</v>
      </c>
      <c r="P63" s="13" t="s">
        <v>308</v>
      </c>
      <c r="Q63" s="13" t="s">
        <v>308</v>
      </c>
      <c r="R63" s="13" t="s">
        <v>308</v>
      </c>
    </row>
    <row r="64" spans="7:18" x14ac:dyDescent="0.25">
      <c r="G64" s="13" t="s">
        <v>308</v>
      </c>
      <c r="H64" s="13" t="s">
        <v>308</v>
      </c>
      <c r="I64" s="13" t="s">
        <v>308</v>
      </c>
      <c r="J64" s="13" t="s">
        <v>308</v>
      </c>
      <c r="K64" s="13" t="s">
        <v>308</v>
      </c>
      <c r="L64" s="13" t="s">
        <v>308</v>
      </c>
      <c r="M64" s="13" t="s">
        <v>308</v>
      </c>
      <c r="N64" s="13" t="s">
        <v>308</v>
      </c>
      <c r="O64" s="13" t="s">
        <v>308</v>
      </c>
      <c r="P64" s="13" t="s">
        <v>308</v>
      </c>
      <c r="Q64" s="13" t="s">
        <v>308</v>
      </c>
      <c r="R64" s="13" t="s">
        <v>308</v>
      </c>
    </row>
    <row r="65" spans="7:18" x14ac:dyDescent="0.25">
      <c r="G65" s="13" t="s">
        <v>308</v>
      </c>
      <c r="H65" s="13" t="s">
        <v>308</v>
      </c>
      <c r="I65" s="13" t="s">
        <v>308</v>
      </c>
      <c r="J65" s="13" t="s">
        <v>308</v>
      </c>
      <c r="K65" s="13" t="s">
        <v>308</v>
      </c>
      <c r="L65" s="13" t="s">
        <v>308</v>
      </c>
      <c r="M65" s="13" t="s">
        <v>308</v>
      </c>
      <c r="N65" s="13" t="s">
        <v>308</v>
      </c>
      <c r="O65" s="13" t="s">
        <v>308</v>
      </c>
      <c r="P65" s="13" t="s">
        <v>308</v>
      </c>
      <c r="Q65" s="13" t="s">
        <v>308</v>
      </c>
      <c r="R65" s="13" t="s">
        <v>308</v>
      </c>
    </row>
  </sheetData>
  <mergeCells count="16">
    <mergeCell ref="V16:W16"/>
    <mergeCell ref="Z16:AA16"/>
    <mergeCell ref="V1:W1"/>
    <mergeCell ref="Z1:AA1"/>
    <mergeCell ref="V6:W6"/>
    <mergeCell ref="Z6:AA6"/>
    <mergeCell ref="V11:W11"/>
    <mergeCell ref="Z11:AA11"/>
    <mergeCell ref="H1:I1"/>
    <mergeCell ref="H6:I6"/>
    <mergeCell ref="H11:I11"/>
    <mergeCell ref="H16:I16"/>
    <mergeCell ref="L1:M1"/>
    <mergeCell ref="L6:M6"/>
    <mergeCell ref="L11:M11"/>
    <mergeCell ref="L16:M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36"/>
  <sheetViews>
    <sheetView topLeftCell="A3" zoomScaleNormal="100" workbookViewId="0">
      <selection activeCell="I15" sqref="I15"/>
    </sheetView>
  </sheetViews>
  <sheetFormatPr defaultColWidth="10" defaultRowHeight="15" x14ac:dyDescent="0.25"/>
  <cols>
    <col min="1" max="16384" width="10" style="74"/>
  </cols>
  <sheetData>
    <row r="1" spans="2:25" x14ac:dyDescent="0.25">
      <c r="B1" s="11">
        <f>B3/$K$3</f>
        <v>0.12781954887218044</v>
      </c>
      <c r="C1" s="11">
        <f t="shared" ref="C1:I1" si="0">C3/$K$3</f>
        <v>0.12030075187969924</v>
      </c>
      <c r="D1" s="11">
        <f t="shared" si="0"/>
        <v>0.13909774436090225</v>
      </c>
      <c r="E1" s="11">
        <f t="shared" si="0"/>
        <v>0.12781954887218044</v>
      </c>
      <c r="F1" s="11">
        <f t="shared" si="0"/>
        <v>0.14285714285714285</v>
      </c>
      <c r="G1" s="11">
        <f t="shared" si="0"/>
        <v>8.646616541353383E-2</v>
      </c>
      <c r="H1" s="11">
        <f t="shared" si="0"/>
        <v>0.11278195488721804</v>
      </c>
      <c r="I1" s="11">
        <f t="shared" si="0"/>
        <v>0.10150375939849623</v>
      </c>
      <c r="J1" s="11">
        <f>J3/$K$3</f>
        <v>4.1353383458646614E-2</v>
      </c>
      <c r="K1" s="1"/>
      <c r="L1" s="1"/>
      <c r="M1" s="1"/>
      <c r="N1" s="11">
        <f>N3/$W$3</f>
        <v>0.1473170731707317</v>
      </c>
      <c r="O1" s="11">
        <f t="shared" ref="O1:V1" si="1">O3/$W$3</f>
        <v>9.7560975609756101E-2</v>
      </c>
      <c r="P1" s="11">
        <f t="shared" si="1"/>
        <v>0.13170731707317074</v>
      </c>
      <c r="Q1" s="11">
        <f t="shared" si="1"/>
        <v>0.10439024390243902</v>
      </c>
      <c r="R1" s="11">
        <f t="shared" si="1"/>
        <v>0.15219512195121951</v>
      </c>
      <c r="S1" s="11">
        <f t="shared" si="1"/>
        <v>7.0243902439024397E-2</v>
      </c>
      <c r="T1" s="11">
        <f t="shared" si="1"/>
        <v>8.5853658536585373E-2</v>
      </c>
      <c r="U1" s="11">
        <f t="shared" si="1"/>
        <v>9.3658536585365854E-2</v>
      </c>
      <c r="V1" s="11">
        <f t="shared" si="1"/>
        <v>0.11707317073170732</v>
      </c>
      <c r="W1" s="1"/>
    </row>
    <row r="2" spans="2:25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1"/>
      <c r="M2" s="1"/>
      <c r="N2" s="2" t="s">
        <v>0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</row>
    <row r="3" spans="2:25" x14ac:dyDescent="0.25">
      <c r="B3" s="3">
        <f>K10</f>
        <v>34</v>
      </c>
      <c r="C3" s="3">
        <f>K11</f>
        <v>32</v>
      </c>
      <c r="D3" s="3">
        <f>K12</f>
        <v>37</v>
      </c>
      <c r="E3" s="3">
        <f>K13</f>
        <v>34</v>
      </c>
      <c r="F3" s="3">
        <f>K14</f>
        <v>38</v>
      </c>
      <c r="G3" s="3">
        <f>K15</f>
        <v>23</v>
      </c>
      <c r="H3" s="3">
        <f>K16</f>
        <v>30</v>
      </c>
      <c r="I3" s="3">
        <f>K17</f>
        <v>27</v>
      </c>
      <c r="J3" s="3">
        <f>K18</f>
        <v>11</v>
      </c>
      <c r="K3" s="3">
        <f>SUM(B3:J3)</f>
        <v>266</v>
      </c>
      <c r="L3" s="1"/>
      <c r="M3" s="1"/>
      <c r="N3" s="3">
        <v>151</v>
      </c>
      <c r="O3" s="3">
        <v>100</v>
      </c>
      <c r="P3" s="3">
        <v>135</v>
      </c>
      <c r="Q3" s="3">
        <v>107</v>
      </c>
      <c r="R3" s="3">
        <v>156</v>
      </c>
      <c r="S3" s="3">
        <v>72</v>
      </c>
      <c r="T3" s="3">
        <v>88</v>
      </c>
      <c r="U3" s="3">
        <v>96</v>
      </c>
      <c r="V3" s="3">
        <v>120</v>
      </c>
      <c r="W3" s="3">
        <f>SUM(N3:V3)</f>
        <v>1025</v>
      </c>
    </row>
    <row r="4" spans="2:25" x14ac:dyDescent="0.25"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1">
        <f t="shared" ref="N4:V4" si="2">N6/$W$6</f>
        <v>0.14731707317073173</v>
      </c>
      <c r="O4" s="11">
        <f t="shared" si="2"/>
        <v>9.7560975609756101E-2</v>
      </c>
      <c r="P4" s="11">
        <f t="shared" si="2"/>
        <v>0.13170731707317074</v>
      </c>
      <c r="Q4" s="11">
        <f t="shared" si="2"/>
        <v>0.10439024390243903</v>
      </c>
      <c r="R4" s="11">
        <f t="shared" si="2"/>
        <v>0.15219512195121954</v>
      </c>
      <c r="S4" s="11">
        <f t="shared" si="2"/>
        <v>7.0243902439024397E-2</v>
      </c>
      <c r="T4" s="11">
        <f t="shared" si="2"/>
        <v>8.5853658536585373E-2</v>
      </c>
      <c r="U4" s="11">
        <f t="shared" si="2"/>
        <v>9.3658536585365867E-2</v>
      </c>
      <c r="V4" s="11">
        <f t="shared" si="2"/>
        <v>0.11707317073170732</v>
      </c>
      <c r="W4" s="1"/>
    </row>
    <row r="5" spans="2:25" x14ac:dyDescent="0.25">
      <c r="B5" s="11">
        <f t="shared" ref="B5:G5" si="3">B7/$K$3</f>
        <v>0.13533834586466165</v>
      </c>
      <c r="C5" s="11">
        <f t="shared" si="3"/>
        <v>0.12030075187969924</v>
      </c>
      <c r="D5" s="11">
        <f t="shared" si="3"/>
        <v>0.12406015037593984</v>
      </c>
      <c r="E5" s="11">
        <f t="shared" si="3"/>
        <v>0.12406015037593984</v>
      </c>
      <c r="F5" s="11">
        <f t="shared" si="3"/>
        <v>0.12781954887218044</v>
      </c>
      <c r="G5" s="11">
        <f t="shared" si="3"/>
        <v>0.12406015037593984</v>
      </c>
      <c r="H5" s="11">
        <f t="shared" ref="H5" si="4">H7/$K$3</f>
        <v>0.12030075187969924</v>
      </c>
      <c r="I5" s="11">
        <f>I7/$K$3</f>
        <v>0.12406015037593984</v>
      </c>
      <c r="J5" s="11">
        <f>J7/$K$3</f>
        <v>0.13533834586466165</v>
      </c>
      <c r="K5" s="11">
        <f>K7/$K$3</f>
        <v>3.007518796992481E-2</v>
      </c>
      <c r="L5" s="1"/>
      <c r="M5" s="1"/>
      <c r="N5" s="2" t="s">
        <v>0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</row>
    <row r="6" spans="2:25" ht="15" customHeight="1" x14ac:dyDescent="0.25">
      <c r="B6" s="69" t="s">
        <v>10</v>
      </c>
      <c r="C6" s="70" t="s">
        <v>11</v>
      </c>
      <c r="D6" s="71" t="s">
        <v>12</v>
      </c>
      <c r="E6" s="4" t="s">
        <v>13</v>
      </c>
      <c r="F6" s="9" t="s">
        <v>14</v>
      </c>
      <c r="G6" s="72" t="s">
        <v>15</v>
      </c>
      <c r="H6" s="73" t="s">
        <v>18</v>
      </c>
      <c r="I6" s="5" t="s">
        <v>16</v>
      </c>
      <c r="J6" s="53" t="s">
        <v>58</v>
      </c>
      <c r="K6" s="53" t="s">
        <v>59</v>
      </c>
      <c r="L6" s="2" t="s">
        <v>9</v>
      </c>
      <c r="M6" s="1"/>
      <c r="N6" s="81">
        <f>N3*40%</f>
        <v>60.400000000000006</v>
      </c>
      <c r="O6" s="81">
        <f>O3*40%</f>
        <v>40</v>
      </c>
      <c r="P6" s="81">
        <f>P3*40%</f>
        <v>54</v>
      </c>
      <c r="Q6" s="81">
        <f>Q3*40%</f>
        <v>42.800000000000004</v>
      </c>
      <c r="R6" s="81">
        <f>R3*40%</f>
        <v>62.400000000000006</v>
      </c>
      <c r="S6" s="81">
        <f t="shared" ref="S6:U6" si="5">S3*40%</f>
        <v>28.8</v>
      </c>
      <c r="T6" s="81">
        <f>T3*40%</f>
        <v>35.200000000000003</v>
      </c>
      <c r="U6" s="81">
        <f t="shared" si="5"/>
        <v>38.400000000000006</v>
      </c>
      <c r="V6" s="81">
        <f>V3*40%</f>
        <v>48</v>
      </c>
      <c r="W6" s="81">
        <f>SUM(N6:V6)</f>
        <v>410</v>
      </c>
    </row>
    <row r="7" spans="2:25" x14ac:dyDescent="0.25">
      <c r="B7" s="3">
        <f>C19</f>
        <v>36</v>
      </c>
      <c r="C7" s="3">
        <f t="shared" ref="C7:H7" si="6">D19</f>
        <v>32</v>
      </c>
      <c r="D7" s="3">
        <f t="shared" si="6"/>
        <v>33</v>
      </c>
      <c r="E7" s="3">
        <f t="shared" si="6"/>
        <v>33</v>
      </c>
      <c r="F7" s="3">
        <f t="shared" si="6"/>
        <v>34</v>
      </c>
      <c r="G7" s="3">
        <f t="shared" si="6"/>
        <v>33</v>
      </c>
      <c r="H7" s="3">
        <f t="shared" si="6"/>
        <v>32</v>
      </c>
      <c r="I7" s="3">
        <f>J19</f>
        <v>33</v>
      </c>
      <c r="J7" s="3">
        <v>36</v>
      </c>
      <c r="K7" s="3">
        <v>8</v>
      </c>
      <c r="L7" s="3">
        <f>SUM(B7:K7)</f>
        <v>310</v>
      </c>
      <c r="M7" s="1"/>
      <c r="N7" s="11">
        <f>N9/N6</f>
        <v>0.5629139072847682</v>
      </c>
      <c r="O7" s="11">
        <f>O9/O6</f>
        <v>0.8</v>
      </c>
      <c r="P7" s="11">
        <f t="shared" ref="P7:V7" si="7">P9/P6</f>
        <v>0.68518518518518523</v>
      </c>
      <c r="Q7" s="11">
        <f t="shared" si="7"/>
        <v>0.79439252336448585</v>
      </c>
      <c r="R7" s="11">
        <f t="shared" si="7"/>
        <v>0.60897435897435892</v>
      </c>
      <c r="S7" s="11">
        <f t="shared" si="7"/>
        <v>0.79861111111111105</v>
      </c>
      <c r="T7" s="11">
        <f t="shared" si="7"/>
        <v>0.85227272727272718</v>
      </c>
      <c r="U7" s="11">
        <f t="shared" si="7"/>
        <v>0.70312499999999989</v>
      </c>
      <c r="V7" s="11">
        <f t="shared" si="7"/>
        <v>0.22916666666666666</v>
      </c>
      <c r="W7" s="1"/>
    </row>
    <row r="8" spans="2:25" x14ac:dyDescent="0.25">
      <c r="B8" s="1"/>
      <c r="C8" s="1"/>
      <c r="D8" s="1"/>
      <c r="E8" s="1"/>
      <c r="F8" s="1"/>
      <c r="G8" s="1"/>
      <c r="H8" s="1"/>
      <c r="I8" s="1"/>
      <c r="J8" s="1"/>
      <c r="N8" s="2" t="s">
        <v>0</v>
      </c>
      <c r="O8" s="2" t="s">
        <v>1</v>
      </c>
      <c r="P8" s="2" t="s">
        <v>2</v>
      </c>
      <c r="Q8" s="2" t="s">
        <v>3</v>
      </c>
      <c r="R8" s="2" t="s">
        <v>4</v>
      </c>
      <c r="S8" s="2" t="s">
        <v>5</v>
      </c>
      <c r="T8" s="2" t="s">
        <v>6</v>
      </c>
      <c r="U8" s="2" t="s">
        <v>7</v>
      </c>
      <c r="V8" s="2" t="s">
        <v>8</v>
      </c>
      <c r="W8" s="2" t="s">
        <v>9</v>
      </c>
    </row>
    <row r="9" spans="2:25" x14ac:dyDescent="0.25">
      <c r="B9" s="3" t="s">
        <v>17</v>
      </c>
      <c r="C9" s="69" t="s">
        <v>10</v>
      </c>
      <c r="D9" s="70" t="s">
        <v>11</v>
      </c>
      <c r="E9" s="71" t="s">
        <v>12</v>
      </c>
      <c r="F9" s="4" t="s">
        <v>13</v>
      </c>
      <c r="G9" s="9" t="s">
        <v>14</v>
      </c>
      <c r="H9" s="72" t="s">
        <v>15</v>
      </c>
      <c r="I9" s="73" t="s">
        <v>18</v>
      </c>
      <c r="J9" s="5" t="s">
        <v>16</v>
      </c>
      <c r="K9" s="2" t="s">
        <v>9</v>
      </c>
      <c r="L9" s="1"/>
      <c r="N9" s="81">
        <f>K10</f>
        <v>34</v>
      </c>
      <c r="O9" s="81">
        <f>K11</f>
        <v>32</v>
      </c>
      <c r="P9" s="81">
        <f>K12</f>
        <v>37</v>
      </c>
      <c r="Q9" s="81">
        <f>K13</f>
        <v>34</v>
      </c>
      <c r="R9" s="81">
        <f>K14</f>
        <v>38</v>
      </c>
      <c r="S9" s="81">
        <f>K15</f>
        <v>23</v>
      </c>
      <c r="T9" s="81">
        <f>K16</f>
        <v>30</v>
      </c>
      <c r="U9" s="81">
        <f>K17</f>
        <v>27</v>
      </c>
      <c r="V9" s="81">
        <f>K18</f>
        <v>11</v>
      </c>
      <c r="W9" s="81">
        <f>SUM(N9:V9)</f>
        <v>266</v>
      </c>
      <c r="X9" s="65" cm="1">
        <f t="array" ref="X9:Y9">W9+J7:K7</f>
        <v>302</v>
      </c>
      <c r="Y9" s="74">
        <v>274</v>
      </c>
    </row>
    <row r="10" spans="2:25" x14ac:dyDescent="0.25">
      <c r="B10" s="2" t="s">
        <v>0</v>
      </c>
      <c r="C10" s="3">
        <v>2</v>
      </c>
      <c r="D10" s="3">
        <v>2</v>
      </c>
      <c r="E10" s="3">
        <v>7</v>
      </c>
      <c r="F10" s="3">
        <v>6</v>
      </c>
      <c r="G10" s="3">
        <v>4</v>
      </c>
      <c r="H10" s="3">
        <v>5</v>
      </c>
      <c r="I10" s="3">
        <v>5</v>
      </c>
      <c r="J10" s="3">
        <v>3</v>
      </c>
      <c r="K10" s="3">
        <f t="shared" ref="K10:K18" si="8">SUM(C10:J10)</f>
        <v>34</v>
      </c>
      <c r="L10" s="11">
        <f t="shared" ref="L10:L18" si="9">K10/$K$19</f>
        <v>0.12781954887218044</v>
      </c>
      <c r="S10" s="65"/>
    </row>
    <row r="11" spans="2:25" x14ac:dyDescent="0.25">
      <c r="B11" s="2" t="s">
        <v>1</v>
      </c>
      <c r="C11" s="3">
        <v>4</v>
      </c>
      <c r="D11" s="3">
        <v>5</v>
      </c>
      <c r="E11" s="3">
        <v>2</v>
      </c>
      <c r="F11" s="3">
        <v>3</v>
      </c>
      <c r="G11" s="3">
        <v>6</v>
      </c>
      <c r="H11" s="3">
        <v>2</v>
      </c>
      <c r="I11" s="3">
        <v>4</v>
      </c>
      <c r="J11" s="3">
        <v>6</v>
      </c>
      <c r="K11" s="3">
        <f t="shared" si="8"/>
        <v>32</v>
      </c>
      <c r="L11" s="11">
        <f t="shared" si="9"/>
        <v>0.12030075187969924</v>
      </c>
    </row>
    <row r="12" spans="2:25" x14ac:dyDescent="0.25">
      <c r="B12" s="2" t="s">
        <v>2</v>
      </c>
      <c r="C12" s="3">
        <v>7</v>
      </c>
      <c r="D12" s="3">
        <v>5</v>
      </c>
      <c r="E12" s="3">
        <v>6</v>
      </c>
      <c r="F12" s="3">
        <v>2</v>
      </c>
      <c r="G12" s="3">
        <v>3</v>
      </c>
      <c r="H12" s="3">
        <v>8</v>
      </c>
      <c r="I12" s="3">
        <v>2</v>
      </c>
      <c r="J12" s="3">
        <v>4</v>
      </c>
      <c r="K12" s="3">
        <f t="shared" si="8"/>
        <v>37</v>
      </c>
      <c r="L12" s="11">
        <f t="shared" si="9"/>
        <v>0.13909774436090225</v>
      </c>
    </row>
    <row r="13" spans="2:25" x14ac:dyDescent="0.25">
      <c r="B13" s="2" t="s">
        <v>3</v>
      </c>
      <c r="C13" s="3">
        <v>6</v>
      </c>
      <c r="D13" s="3">
        <v>1</v>
      </c>
      <c r="E13" s="3">
        <v>3</v>
      </c>
      <c r="F13" s="3">
        <v>5</v>
      </c>
      <c r="G13" s="3">
        <v>3</v>
      </c>
      <c r="H13" s="3">
        <v>4</v>
      </c>
      <c r="I13" s="3">
        <v>7</v>
      </c>
      <c r="J13" s="3">
        <v>5</v>
      </c>
      <c r="K13" s="3">
        <f t="shared" si="8"/>
        <v>34</v>
      </c>
      <c r="L13" s="11">
        <f t="shared" si="9"/>
        <v>0.12781954887218044</v>
      </c>
    </row>
    <row r="14" spans="2:25" x14ac:dyDescent="0.25">
      <c r="B14" s="2" t="s">
        <v>4</v>
      </c>
      <c r="C14" s="3">
        <v>6</v>
      </c>
      <c r="D14" s="3">
        <v>9</v>
      </c>
      <c r="E14" s="3">
        <v>4</v>
      </c>
      <c r="F14" s="3">
        <v>6</v>
      </c>
      <c r="G14" s="3">
        <v>3</v>
      </c>
      <c r="H14" s="3">
        <v>2</v>
      </c>
      <c r="I14" s="3">
        <v>5</v>
      </c>
      <c r="J14" s="3">
        <v>3</v>
      </c>
      <c r="K14" s="3">
        <f t="shared" si="8"/>
        <v>38</v>
      </c>
      <c r="L14" s="11">
        <f t="shared" si="9"/>
        <v>0.14285714285714285</v>
      </c>
    </row>
    <row r="15" spans="2:25" x14ac:dyDescent="0.25">
      <c r="B15" s="2" t="s">
        <v>5</v>
      </c>
      <c r="C15" s="3">
        <v>2</v>
      </c>
      <c r="D15" s="3">
        <v>2</v>
      </c>
      <c r="E15" s="3">
        <v>5</v>
      </c>
      <c r="F15" s="3">
        <v>2</v>
      </c>
      <c r="G15" s="3">
        <v>3</v>
      </c>
      <c r="H15" s="3">
        <v>3</v>
      </c>
      <c r="I15" s="3">
        <v>2</v>
      </c>
      <c r="J15" s="3">
        <v>4</v>
      </c>
      <c r="K15" s="3">
        <f t="shared" si="8"/>
        <v>23</v>
      </c>
      <c r="L15" s="11">
        <f t="shared" si="9"/>
        <v>8.646616541353383E-2</v>
      </c>
    </row>
    <row r="16" spans="2:25" ht="15" customHeight="1" x14ac:dyDescent="0.25">
      <c r="B16" s="2" t="s">
        <v>6</v>
      </c>
      <c r="C16" s="3">
        <v>6</v>
      </c>
      <c r="D16" s="3">
        <v>3</v>
      </c>
      <c r="E16" s="3">
        <v>3</v>
      </c>
      <c r="F16" s="3">
        <v>4</v>
      </c>
      <c r="G16" s="3">
        <v>6</v>
      </c>
      <c r="H16" s="3">
        <v>3</v>
      </c>
      <c r="I16" s="3">
        <v>1</v>
      </c>
      <c r="J16" s="3">
        <v>4</v>
      </c>
      <c r="K16" s="3">
        <f t="shared" si="8"/>
        <v>30</v>
      </c>
      <c r="L16" s="11">
        <f t="shared" si="9"/>
        <v>0.11278195488721804</v>
      </c>
    </row>
    <row r="17" spans="2:18" ht="15" customHeight="1" x14ac:dyDescent="0.25">
      <c r="B17" s="2" t="s">
        <v>7</v>
      </c>
      <c r="C17" s="3">
        <v>3</v>
      </c>
      <c r="D17" s="3">
        <v>2</v>
      </c>
      <c r="E17" s="3">
        <v>3</v>
      </c>
      <c r="F17" s="3">
        <v>3</v>
      </c>
      <c r="G17" s="3">
        <v>6</v>
      </c>
      <c r="H17" s="3">
        <v>3</v>
      </c>
      <c r="I17" s="3">
        <v>4</v>
      </c>
      <c r="J17" s="3">
        <v>3</v>
      </c>
      <c r="K17" s="3">
        <f t="shared" si="8"/>
        <v>27</v>
      </c>
      <c r="L17" s="11">
        <f t="shared" si="9"/>
        <v>0.10150375939849623</v>
      </c>
    </row>
    <row r="18" spans="2:18" x14ac:dyDescent="0.25">
      <c r="B18" s="2" t="s">
        <v>8</v>
      </c>
      <c r="C18" s="3">
        <v>0</v>
      </c>
      <c r="D18" s="3">
        <v>3</v>
      </c>
      <c r="E18" s="3">
        <v>0</v>
      </c>
      <c r="F18" s="3">
        <v>2</v>
      </c>
      <c r="G18" s="3">
        <v>0</v>
      </c>
      <c r="H18" s="3">
        <v>3</v>
      </c>
      <c r="I18" s="3">
        <v>2</v>
      </c>
      <c r="J18" s="3">
        <v>1</v>
      </c>
      <c r="K18" s="3">
        <f t="shared" si="8"/>
        <v>11</v>
      </c>
      <c r="L18" s="11">
        <f t="shared" si="9"/>
        <v>4.1353383458646614E-2</v>
      </c>
    </row>
    <row r="19" spans="2:18" x14ac:dyDescent="0.25">
      <c r="B19" s="2" t="s">
        <v>9</v>
      </c>
      <c r="C19" s="3">
        <f>SUM(C10:C18)</f>
        <v>36</v>
      </c>
      <c r="D19" s="3">
        <f t="shared" ref="D19:H19" si="10">SUM(D10:D18)</f>
        <v>32</v>
      </c>
      <c r="E19" s="3">
        <f t="shared" si="10"/>
        <v>33</v>
      </c>
      <c r="F19" s="3">
        <f t="shared" si="10"/>
        <v>33</v>
      </c>
      <c r="G19" s="3">
        <f t="shared" si="10"/>
        <v>34</v>
      </c>
      <c r="H19" s="3">
        <f t="shared" si="10"/>
        <v>33</v>
      </c>
      <c r="I19" s="3">
        <f t="shared" ref="I19" si="11">SUM(I10:I18)</f>
        <v>32</v>
      </c>
      <c r="J19" s="3">
        <f>SUM(J10:J18)</f>
        <v>33</v>
      </c>
      <c r="K19" s="3">
        <f>SUM(K10:K18)</f>
        <v>266</v>
      </c>
      <c r="L19" s="1"/>
    </row>
    <row r="20" spans="2:18" x14ac:dyDescent="0.25">
      <c r="B20" s="1"/>
      <c r="C20" s="11">
        <f t="shared" ref="C20:J20" si="12">C19/$K$19</f>
        <v>0.13533834586466165</v>
      </c>
      <c r="D20" s="11">
        <f t="shared" si="12"/>
        <v>0.12030075187969924</v>
      </c>
      <c r="E20" s="11">
        <f t="shared" si="12"/>
        <v>0.12406015037593984</v>
      </c>
      <c r="F20" s="11">
        <f t="shared" si="12"/>
        <v>0.12406015037593984</v>
      </c>
      <c r="G20" s="11">
        <f t="shared" si="12"/>
        <v>0.12781954887218044</v>
      </c>
      <c r="H20" s="11">
        <f t="shared" si="12"/>
        <v>0.12406015037593984</v>
      </c>
      <c r="I20" s="11">
        <f t="shared" si="12"/>
        <v>0.12030075187969924</v>
      </c>
      <c r="J20" s="11">
        <f t="shared" si="12"/>
        <v>0.12406015037593984</v>
      </c>
      <c r="K20" s="1"/>
      <c r="L20" s="1"/>
    </row>
    <row r="27" spans="2:18" x14ac:dyDescent="0.25">
      <c r="O27" s="74" t="s">
        <v>393</v>
      </c>
    </row>
    <row r="28" spans="2:18" x14ac:dyDescent="0.25">
      <c r="O28" s="74">
        <v>31</v>
      </c>
      <c r="P28" s="74">
        <v>255</v>
      </c>
      <c r="Q28" s="65"/>
      <c r="R28" s="65"/>
    </row>
    <row r="29" spans="2:18" x14ac:dyDescent="0.25">
      <c r="O29" s="62">
        <v>30</v>
      </c>
      <c r="P29" s="66">
        <f>(O29*255)/31</f>
        <v>246.7741935483871</v>
      </c>
      <c r="R29" s="74">
        <v>2</v>
      </c>
    </row>
    <row r="30" spans="2:18" x14ac:dyDescent="0.25">
      <c r="O30" s="63">
        <v>27</v>
      </c>
      <c r="P30" s="67">
        <f>(O30*255)/31</f>
        <v>222.09677419354838</v>
      </c>
      <c r="R30" s="74">
        <v>3</v>
      </c>
    </row>
    <row r="31" spans="2:18" x14ac:dyDescent="0.25">
      <c r="O31" s="64">
        <v>24</v>
      </c>
      <c r="P31" s="68">
        <f>(O31*255)/31</f>
        <v>197.41935483870967</v>
      </c>
      <c r="R31" s="74">
        <v>6</v>
      </c>
    </row>
    <row r="32" spans="2:18" x14ac:dyDescent="0.25">
      <c r="P32" s="74" t="s">
        <v>393</v>
      </c>
    </row>
    <row r="33" spans="15:16" x14ac:dyDescent="0.25">
      <c r="O33" s="74">
        <v>255</v>
      </c>
      <c r="P33" s="74">
        <v>31</v>
      </c>
    </row>
    <row r="34" spans="15:16" x14ac:dyDescent="0.25">
      <c r="O34" s="66">
        <f>(P34*31)/255</f>
        <v>30.149019607843137</v>
      </c>
      <c r="P34" s="66">
        <v>248</v>
      </c>
    </row>
    <row r="35" spans="15:16" x14ac:dyDescent="0.25">
      <c r="O35" s="67">
        <f>(P35*31)/255</f>
        <v>33.79607843137255</v>
      </c>
      <c r="P35" s="67">
        <v>278</v>
      </c>
    </row>
    <row r="36" spans="15:16" x14ac:dyDescent="0.25">
      <c r="O36" s="68">
        <f>(P36*31)/255</f>
        <v>0</v>
      </c>
      <c r="P36" s="6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A953-7727-4F00-A7CC-D89B6553E3AF}">
  <dimension ref="B1:T19"/>
  <sheetViews>
    <sheetView workbookViewId="0">
      <selection activeCell="G6" sqref="G6"/>
    </sheetView>
  </sheetViews>
  <sheetFormatPr defaultRowHeight="15" x14ac:dyDescent="0.25"/>
  <cols>
    <col min="1" max="1" width="9.140625" style="1"/>
    <col min="2" max="2" width="11.5703125" style="1" bestFit="1" customWidth="1"/>
    <col min="3" max="16384" width="9.140625" style="1"/>
  </cols>
  <sheetData>
    <row r="1" spans="2:20" x14ac:dyDescent="0.25">
      <c r="B1" s="11">
        <f>B3/$K$3</f>
        <v>0.107981220657277</v>
      </c>
      <c r="C1" s="11">
        <f t="shared" ref="C1:J1" si="0">C3/$K$3</f>
        <v>0.13145539906103287</v>
      </c>
      <c r="D1" s="11">
        <f t="shared" si="0"/>
        <v>0.14553990610328638</v>
      </c>
      <c r="E1" s="11">
        <f t="shared" si="0"/>
        <v>0.11737089201877934</v>
      </c>
      <c r="F1" s="11">
        <f t="shared" si="0"/>
        <v>0.15492957746478872</v>
      </c>
      <c r="G1" s="11">
        <f t="shared" si="0"/>
        <v>9.8591549295774641E-2</v>
      </c>
      <c r="H1" s="11">
        <f t="shared" si="0"/>
        <v>0.10328638497652583</v>
      </c>
      <c r="I1" s="11">
        <f t="shared" si="0"/>
        <v>0.12206572769953052</v>
      </c>
      <c r="J1" s="11">
        <f t="shared" si="0"/>
        <v>1.8779342723004695E-2</v>
      </c>
    </row>
    <row r="2" spans="2:20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20" x14ac:dyDescent="0.25">
      <c r="B3" s="3">
        <v>23</v>
      </c>
      <c r="C3" s="3">
        <v>28</v>
      </c>
      <c r="D3" s="3">
        <v>31</v>
      </c>
      <c r="E3" s="3">
        <v>25</v>
      </c>
      <c r="F3" s="3">
        <v>33</v>
      </c>
      <c r="G3" s="3">
        <v>21</v>
      </c>
      <c r="H3" s="3">
        <v>22</v>
      </c>
      <c r="I3" s="3">
        <v>26</v>
      </c>
      <c r="J3" s="3">
        <v>4</v>
      </c>
      <c r="K3" s="3">
        <f>SUM(B3:J3)</f>
        <v>213</v>
      </c>
    </row>
    <row r="4" spans="2:20" x14ac:dyDescent="0.25">
      <c r="J4"/>
    </row>
    <row r="5" spans="2:20" x14ac:dyDescent="0.25">
      <c r="B5" s="11">
        <f t="shared" ref="B5:H5" si="1">B7/$K$3</f>
        <v>0.18779342723004694</v>
      </c>
      <c r="C5" s="11">
        <f t="shared" si="1"/>
        <v>0.13145539906103287</v>
      </c>
      <c r="D5" s="11">
        <f t="shared" si="1"/>
        <v>0.14553990610328638</v>
      </c>
      <c r="E5" s="11">
        <f t="shared" si="1"/>
        <v>0.12676056338028169</v>
      </c>
      <c r="F5" s="11">
        <f t="shared" si="1"/>
        <v>0.12676056338028169</v>
      </c>
      <c r="G5" s="11">
        <f t="shared" si="1"/>
        <v>0.12676056338028169</v>
      </c>
      <c r="H5" s="11">
        <f t="shared" si="1"/>
        <v>0.15492957746478872</v>
      </c>
      <c r="I5"/>
    </row>
    <row r="6" spans="2:20" ht="30" x14ac:dyDescent="0.25">
      <c r="B6" s="6" t="s">
        <v>10</v>
      </c>
      <c r="C6" s="7" t="s">
        <v>11</v>
      </c>
      <c r="D6" s="8" t="s">
        <v>12</v>
      </c>
      <c r="E6" s="4" t="s">
        <v>13</v>
      </c>
      <c r="F6" s="9" t="s">
        <v>14</v>
      </c>
      <c r="G6" s="10" t="s">
        <v>15</v>
      </c>
      <c r="H6" s="5" t="s">
        <v>16</v>
      </c>
      <c r="I6" s="2" t="s">
        <v>9</v>
      </c>
    </row>
    <row r="7" spans="2:20" x14ac:dyDescent="0.25">
      <c r="B7" s="3">
        <v>40</v>
      </c>
      <c r="C7" s="3">
        <v>28</v>
      </c>
      <c r="D7" s="3">
        <v>31</v>
      </c>
      <c r="E7" s="3">
        <v>27</v>
      </c>
      <c r="F7" s="3">
        <v>27</v>
      </c>
      <c r="G7" s="3">
        <v>27</v>
      </c>
      <c r="H7" s="3">
        <v>33</v>
      </c>
      <c r="I7" s="3">
        <f>SUM(B7:H7)</f>
        <v>213</v>
      </c>
    </row>
    <row r="8" spans="2:20" ht="30" x14ac:dyDescent="0.25">
      <c r="I8" s="1">
        <f>254-I7</f>
        <v>41</v>
      </c>
      <c r="K8" s="3" t="s">
        <v>17</v>
      </c>
      <c r="L8" s="6" t="s">
        <v>10</v>
      </c>
      <c r="M8" s="7" t="s">
        <v>11</v>
      </c>
      <c r="N8" s="8" t="s">
        <v>12</v>
      </c>
      <c r="O8" s="4" t="s">
        <v>13</v>
      </c>
      <c r="P8" s="9" t="s">
        <v>14</v>
      </c>
      <c r="Q8" s="10" t="s">
        <v>15</v>
      </c>
      <c r="R8" s="5" t="s">
        <v>16</v>
      </c>
      <c r="S8" s="2" t="s">
        <v>9</v>
      </c>
    </row>
    <row r="9" spans="2:20" x14ac:dyDescent="0.25">
      <c r="I9" s="1">
        <f>I8-7</f>
        <v>34</v>
      </c>
      <c r="K9" s="2" t="s">
        <v>0</v>
      </c>
      <c r="L9" s="3">
        <v>2</v>
      </c>
      <c r="M9" s="3">
        <v>2</v>
      </c>
      <c r="N9" s="3">
        <v>7</v>
      </c>
      <c r="O9" s="3">
        <v>4</v>
      </c>
      <c r="P9" s="3">
        <v>4</v>
      </c>
      <c r="Q9" s="3">
        <v>1</v>
      </c>
      <c r="R9" s="3">
        <v>3</v>
      </c>
      <c r="S9" s="3">
        <f>SUM(L9:R9)</f>
        <v>23</v>
      </c>
      <c r="T9" s="11">
        <f>S9/$S$18</f>
        <v>0.107981220657277</v>
      </c>
    </row>
    <row r="10" spans="2:20" x14ac:dyDescent="0.25">
      <c r="K10" s="2" t="s">
        <v>1</v>
      </c>
      <c r="L10" s="3">
        <v>6</v>
      </c>
      <c r="M10" s="3">
        <v>6</v>
      </c>
      <c r="N10" s="3">
        <v>2</v>
      </c>
      <c r="O10" s="3">
        <v>1</v>
      </c>
      <c r="P10" s="3">
        <v>3</v>
      </c>
      <c r="Q10" s="3">
        <v>4</v>
      </c>
      <c r="R10" s="3">
        <v>6</v>
      </c>
      <c r="S10" s="3">
        <f t="shared" ref="S10:S16" si="2">SUM(L10:R10)</f>
        <v>28</v>
      </c>
      <c r="T10" s="11">
        <f t="shared" ref="T10:T17" si="3">S10/$S$18</f>
        <v>0.13145539906103287</v>
      </c>
    </row>
    <row r="11" spans="2:20" x14ac:dyDescent="0.25">
      <c r="K11" s="2" t="s">
        <v>2</v>
      </c>
      <c r="L11" s="3">
        <v>9</v>
      </c>
      <c r="M11" s="3">
        <v>5</v>
      </c>
      <c r="N11" s="3">
        <v>3</v>
      </c>
      <c r="O11" s="3">
        <v>2</v>
      </c>
      <c r="P11" s="3">
        <v>3</v>
      </c>
      <c r="Q11" s="3">
        <v>5</v>
      </c>
      <c r="R11" s="3">
        <v>4</v>
      </c>
      <c r="S11" s="3">
        <f t="shared" si="2"/>
        <v>31</v>
      </c>
      <c r="T11" s="11">
        <f t="shared" si="3"/>
        <v>0.14553990610328638</v>
      </c>
    </row>
    <row r="12" spans="2:20" x14ac:dyDescent="0.25">
      <c r="K12" s="2" t="s">
        <v>3</v>
      </c>
      <c r="L12" s="3">
        <v>4</v>
      </c>
      <c r="M12" s="3">
        <v>1</v>
      </c>
      <c r="N12" s="3">
        <v>3</v>
      </c>
      <c r="O12" s="3">
        <v>4</v>
      </c>
      <c r="P12" s="3">
        <v>2</v>
      </c>
      <c r="Q12" s="3">
        <v>6</v>
      </c>
      <c r="R12" s="3">
        <v>5</v>
      </c>
      <c r="S12" s="3">
        <f t="shared" si="2"/>
        <v>25</v>
      </c>
      <c r="T12" s="11">
        <f t="shared" si="3"/>
        <v>0.11737089201877934</v>
      </c>
    </row>
    <row r="13" spans="2:20" x14ac:dyDescent="0.25">
      <c r="K13" s="2" t="s">
        <v>4</v>
      </c>
      <c r="L13" s="3">
        <v>6</v>
      </c>
      <c r="M13" s="3">
        <v>6</v>
      </c>
      <c r="N13" s="3">
        <v>4</v>
      </c>
      <c r="O13" s="3">
        <v>6</v>
      </c>
      <c r="P13" s="3">
        <v>3</v>
      </c>
      <c r="Q13" s="3">
        <v>5</v>
      </c>
      <c r="R13" s="3">
        <v>3</v>
      </c>
      <c r="S13" s="3">
        <f t="shared" si="2"/>
        <v>33</v>
      </c>
      <c r="T13" s="11">
        <f t="shared" si="3"/>
        <v>0.15492957746478872</v>
      </c>
    </row>
    <row r="14" spans="2:20" x14ac:dyDescent="0.25">
      <c r="K14" s="2" t="s">
        <v>5</v>
      </c>
      <c r="L14" s="3">
        <v>2</v>
      </c>
      <c r="M14" s="3">
        <v>2</v>
      </c>
      <c r="N14" s="3">
        <v>7</v>
      </c>
      <c r="O14" s="3">
        <v>2</v>
      </c>
      <c r="P14" s="3">
        <v>3</v>
      </c>
      <c r="Q14" s="3">
        <v>2</v>
      </c>
      <c r="R14" s="3">
        <v>3</v>
      </c>
      <c r="S14" s="3">
        <f t="shared" si="2"/>
        <v>21</v>
      </c>
      <c r="T14" s="11">
        <f t="shared" si="3"/>
        <v>9.8591549295774641E-2</v>
      </c>
    </row>
    <row r="15" spans="2:20" x14ac:dyDescent="0.25">
      <c r="K15" s="2" t="s">
        <v>6</v>
      </c>
      <c r="L15" s="3">
        <v>7</v>
      </c>
      <c r="M15" s="3">
        <v>1</v>
      </c>
      <c r="N15" s="3">
        <v>2</v>
      </c>
      <c r="O15" s="3">
        <v>3</v>
      </c>
      <c r="P15" s="3">
        <v>3</v>
      </c>
      <c r="Q15" s="3">
        <v>2</v>
      </c>
      <c r="R15" s="3">
        <v>4</v>
      </c>
      <c r="S15" s="3">
        <f t="shared" si="2"/>
        <v>22</v>
      </c>
      <c r="T15" s="11">
        <f t="shared" si="3"/>
        <v>0.10328638497652583</v>
      </c>
    </row>
    <row r="16" spans="2:20" x14ac:dyDescent="0.25">
      <c r="K16" s="2" t="s">
        <v>7</v>
      </c>
      <c r="L16" s="3">
        <v>4</v>
      </c>
      <c r="M16" s="3">
        <v>2</v>
      </c>
      <c r="N16" s="3">
        <v>3</v>
      </c>
      <c r="O16" s="3">
        <v>5</v>
      </c>
      <c r="P16" s="3">
        <v>6</v>
      </c>
      <c r="Q16" s="3">
        <v>2</v>
      </c>
      <c r="R16" s="3">
        <v>4</v>
      </c>
      <c r="S16" s="3">
        <f t="shared" si="2"/>
        <v>26</v>
      </c>
      <c r="T16" s="11">
        <f t="shared" si="3"/>
        <v>0.12206572769953052</v>
      </c>
    </row>
    <row r="17" spans="11:20" x14ac:dyDescent="0.25">
      <c r="K17" s="2" t="s">
        <v>8</v>
      </c>
      <c r="L17" s="3">
        <v>0</v>
      </c>
      <c r="M17" s="3">
        <v>3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f>SUM(L17:R17)</f>
        <v>4</v>
      </c>
      <c r="T17" s="11">
        <f t="shared" si="3"/>
        <v>1.8779342723004695E-2</v>
      </c>
    </row>
    <row r="18" spans="11:20" x14ac:dyDescent="0.25">
      <c r="K18" s="2" t="s">
        <v>9</v>
      </c>
      <c r="L18" s="3">
        <f>SUM(L9:L17)</f>
        <v>40</v>
      </c>
      <c r="M18" s="3">
        <f t="shared" ref="M18:R18" si="4">SUM(M9:M17)</f>
        <v>28</v>
      </c>
      <c r="N18" s="3">
        <f t="shared" si="4"/>
        <v>31</v>
      </c>
      <c r="O18" s="3">
        <f t="shared" si="4"/>
        <v>27</v>
      </c>
      <c r="P18" s="3">
        <f t="shared" si="4"/>
        <v>27</v>
      </c>
      <c r="Q18" s="3">
        <f t="shared" si="4"/>
        <v>27</v>
      </c>
      <c r="R18" s="3">
        <f t="shared" si="4"/>
        <v>33</v>
      </c>
      <c r="S18" s="3">
        <f>SUM(S9:S17)</f>
        <v>213</v>
      </c>
    </row>
    <row r="19" spans="11:20" x14ac:dyDescent="0.25">
      <c r="L19" s="11">
        <f>L18/$S$18</f>
        <v>0.18779342723004694</v>
      </c>
      <c r="M19" s="11">
        <f t="shared" ref="M19:R19" si="5">M18/$S$18</f>
        <v>0.13145539906103287</v>
      </c>
      <c r="N19" s="11">
        <f t="shared" si="5"/>
        <v>0.14553990610328638</v>
      </c>
      <c r="O19" s="11">
        <f t="shared" si="5"/>
        <v>0.12676056338028169</v>
      </c>
      <c r="P19" s="11">
        <f t="shared" si="5"/>
        <v>0.12676056338028169</v>
      </c>
      <c r="Q19" s="11">
        <f t="shared" si="5"/>
        <v>0.12676056338028169</v>
      </c>
      <c r="R19" s="11">
        <f t="shared" si="5"/>
        <v>0.15492957746478872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F7AE-4F48-4733-A00A-FE1F6AB5D7A3}">
  <dimension ref="B1:AT76"/>
  <sheetViews>
    <sheetView topLeftCell="AI1" workbookViewId="0">
      <selection activeCell="AR19" sqref="AR19"/>
    </sheetView>
  </sheetViews>
  <sheetFormatPr defaultColWidth="11.42578125" defaultRowHeight="15" x14ac:dyDescent="0.25"/>
  <cols>
    <col min="1" max="1" width="11.42578125" style="52"/>
    <col min="2" max="2" width="14.42578125" style="52" bestFit="1" customWidth="1"/>
    <col min="3" max="13" width="11.42578125" style="52"/>
    <col min="14" max="14" width="14.85546875" style="52" bestFit="1" customWidth="1"/>
    <col min="15" max="24" width="11.42578125" style="52"/>
    <col min="25" max="25" width="16.5703125" bestFit="1" customWidth="1"/>
    <col min="26" max="35" width="11.42578125" style="52"/>
    <col min="36" max="36" width="21.140625" style="52" bestFit="1" customWidth="1"/>
    <col min="37" max="16384" width="11.42578125" style="52"/>
  </cols>
  <sheetData>
    <row r="1" spans="2:46" x14ac:dyDescent="0.25">
      <c r="D1" s="54" t="s">
        <v>303</v>
      </c>
      <c r="E1" s="56" t="s">
        <v>297</v>
      </c>
      <c r="F1" s="58" t="s">
        <v>298</v>
      </c>
      <c r="G1" s="4" t="s">
        <v>300</v>
      </c>
      <c r="H1" s="55" t="s">
        <v>302</v>
      </c>
      <c r="I1" s="57" t="s">
        <v>15</v>
      </c>
      <c r="J1" s="59" t="s">
        <v>299</v>
      </c>
      <c r="K1" s="5" t="s">
        <v>16</v>
      </c>
      <c r="L1" s="53" t="s">
        <v>58</v>
      </c>
      <c r="M1" s="53" t="s">
        <v>73</v>
      </c>
      <c r="N1" s="60"/>
      <c r="O1" s="60"/>
      <c r="P1" s="54" t="s">
        <v>303</v>
      </c>
      <c r="Q1" s="56" t="s">
        <v>297</v>
      </c>
      <c r="R1" s="58" t="s">
        <v>298</v>
      </c>
      <c r="S1" s="4" t="s">
        <v>300</v>
      </c>
      <c r="T1" s="55" t="s">
        <v>302</v>
      </c>
      <c r="U1" s="57" t="s">
        <v>15</v>
      </c>
      <c r="V1" s="59" t="s">
        <v>299</v>
      </c>
      <c r="W1" s="5" t="s">
        <v>16</v>
      </c>
      <c r="X1" s="53" t="s">
        <v>58</v>
      </c>
      <c r="Y1" s="60"/>
      <c r="Z1" s="60"/>
      <c r="AA1" s="54" t="s">
        <v>303</v>
      </c>
      <c r="AB1" s="56" t="s">
        <v>297</v>
      </c>
      <c r="AC1" s="58" t="s">
        <v>298</v>
      </c>
      <c r="AD1" s="4" t="s">
        <v>300</v>
      </c>
      <c r="AE1" s="55" t="s">
        <v>302</v>
      </c>
      <c r="AF1" s="57" t="s">
        <v>15</v>
      </c>
      <c r="AG1" s="59" t="s">
        <v>299</v>
      </c>
      <c r="AH1" s="5" t="s">
        <v>16</v>
      </c>
      <c r="AI1" s="53" t="s">
        <v>58</v>
      </c>
      <c r="AJ1" s="60"/>
      <c r="AK1" s="60"/>
      <c r="AL1" s="54" t="s">
        <v>303</v>
      </c>
      <c r="AM1" s="56" t="s">
        <v>297</v>
      </c>
      <c r="AN1" s="58" t="s">
        <v>298</v>
      </c>
      <c r="AO1" s="4" t="s">
        <v>300</v>
      </c>
      <c r="AP1" s="55" t="s">
        <v>302</v>
      </c>
      <c r="AQ1" s="57" t="s">
        <v>15</v>
      </c>
      <c r="AR1" s="59" t="s">
        <v>299</v>
      </c>
      <c r="AS1" s="5" t="s">
        <v>16</v>
      </c>
      <c r="AT1" s="53" t="s">
        <v>58</v>
      </c>
    </row>
    <row r="2" spans="2:46" x14ac:dyDescent="0.25">
      <c r="B2" s="97" t="s">
        <v>69</v>
      </c>
      <c r="C2" s="97"/>
      <c r="D2" s="52">
        <f>COUNTIF(C3:C80,"GRASS")</f>
        <v>9</v>
      </c>
      <c r="E2" s="52">
        <f>COUNTIF($C$3:$C$80,"fire")</f>
        <v>7</v>
      </c>
      <c r="F2" s="52">
        <f>COUNTIF($C$3:$C$80,"water")</f>
        <v>8</v>
      </c>
      <c r="G2" s="52">
        <f>COUNTIF($C$3:$C$80,"lightning")</f>
        <v>8</v>
      </c>
      <c r="H2" s="52">
        <f>COUNTIF($C$3:$C$80,"fighting")</f>
        <v>8</v>
      </c>
      <c r="I2" s="52">
        <f>COUNTIF($C$3:$C$80,"psychic")</f>
        <v>7</v>
      </c>
      <c r="J2" s="52">
        <f>COUNTIF($C$3:$C$80,"darkness")</f>
        <v>7</v>
      </c>
      <c r="K2" s="60">
        <f>COUNTIF($C$3:$C$80,"colorless")</f>
        <v>8</v>
      </c>
      <c r="L2" s="52">
        <f>COUNTIF($C$3:$C$80,"trainers")</f>
        <v>8</v>
      </c>
      <c r="M2" s="52">
        <v>7</v>
      </c>
      <c r="N2" s="97" t="s">
        <v>74</v>
      </c>
      <c r="O2" s="97"/>
      <c r="P2" s="60">
        <f>COUNTIF(O3:O80,"GRASS")</f>
        <v>9</v>
      </c>
      <c r="Q2" s="60">
        <f>COUNTIF($O$3:$O$80,"fire")</f>
        <v>9</v>
      </c>
      <c r="R2" s="60">
        <f>COUNTIF($O$3:$O$80,"water")</f>
        <v>9</v>
      </c>
      <c r="S2" s="60">
        <f>COUNTIF($O$3:$O$80,"lightning")</f>
        <v>8</v>
      </c>
      <c r="T2" s="60">
        <f>COUNTIF($O$2:$O$79,"fighting")</f>
        <v>8</v>
      </c>
      <c r="U2" s="60">
        <f>COUNTIF($O$3:$O$80,"psychic")</f>
        <v>8</v>
      </c>
      <c r="V2" s="60">
        <f>COUNTIF($O$3:$O$80,"darkness")</f>
        <v>7</v>
      </c>
      <c r="W2" s="60">
        <f>COUNTIF($C$3:$C$80,"colorless")</f>
        <v>8</v>
      </c>
      <c r="X2" s="60">
        <f>COUNTIF($O$3:$O$80,"trainers")</f>
        <v>8</v>
      </c>
      <c r="Y2" s="97" t="s">
        <v>75</v>
      </c>
      <c r="Z2" s="97"/>
      <c r="AA2" s="60">
        <f>COUNTIF(Z3:Z80,"GRASS")</f>
        <v>9</v>
      </c>
      <c r="AB2" s="60">
        <f>COUNTIF($Z$3:$Z$80,"fire")</f>
        <v>7</v>
      </c>
      <c r="AC2" s="60">
        <f>COUNTIF($Z$3:$Z$80,"water")</f>
        <v>9</v>
      </c>
      <c r="AD2" s="60">
        <f>COUNTIF($Z$3:$Z$80,"lightning")</f>
        <v>8</v>
      </c>
      <c r="AE2" s="60">
        <f>COUNTIF($Z$3:$Z$80,"fighting")</f>
        <v>8</v>
      </c>
      <c r="AF2" s="60">
        <f>COUNTIF($Z$3:$Z$80,"psychic")</f>
        <v>7</v>
      </c>
      <c r="AG2" s="60">
        <f>COUNTIF($Z$3:$Z$80,"darkness")</f>
        <v>8</v>
      </c>
      <c r="AH2" s="60">
        <f>COUNTIF($Z$3:$Z$80,"colorless")</f>
        <v>6</v>
      </c>
      <c r="AI2" s="60">
        <f>COUNTIF($Z$3:$Z$80,"trainers")</f>
        <v>9</v>
      </c>
      <c r="AJ2" s="97" t="s">
        <v>76</v>
      </c>
      <c r="AK2" s="97"/>
      <c r="AL2" s="60">
        <f>COUNTIF(AK3:AK80,"GRASS")</f>
        <v>8</v>
      </c>
      <c r="AM2" s="60">
        <f>COUNTIF($AK$3:$AK$80,"fire")</f>
        <v>7</v>
      </c>
      <c r="AN2" s="60">
        <f>COUNTIF($AK$3:$AK$80,"water")</f>
        <v>6</v>
      </c>
      <c r="AO2" s="60">
        <f>COUNTIF($AK$2:$AK$79,"lightning")</f>
        <v>8</v>
      </c>
      <c r="AP2" s="60">
        <f>COUNTIF($AK$3:$AK$80,"fighting")</f>
        <v>10</v>
      </c>
      <c r="AQ2" s="60">
        <f>COUNTIF($AK$3:$AK$80,"psychic")</f>
        <v>9</v>
      </c>
      <c r="AR2" s="60">
        <f>COUNTIF($AK$3:$AK$80,"darkness")</f>
        <v>7</v>
      </c>
      <c r="AS2" s="60">
        <f>COUNTIF($AK$3:$AK$80,"colorless")</f>
        <v>9</v>
      </c>
      <c r="AT2" s="60">
        <f>COUNTIF($AK$3:$AK$80,"trainers")</f>
        <v>8</v>
      </c>
    </row>
    <row r="3" spans="2:46" x14ac:dyDescent="0.25">
      <c r="B3" s="14" t="str">
        <f>Sheet1!B3</f>
        <v>Chikorita</v>
      </c>
      <c r="C3" s="46" t="s">
        <v>303</v>
      </c>
      <c r="D3" s="52" t="s">
        <v>9</v>
      </c>
      <c r="E3" s="52">
        <f>SUM(D2:M2)</f>
        <v>77</v>
      </c>
      <c r="N3" s="14" t="s">
        <v>29</v>
      </c>
      <c r="O3" s="54" t="s">
        <v>303</v>
      </c>
      <c r="P3" s="60" t="s">
        <v>9</v>
      </c>
      <c r="Q3" s="60">
        <f>SUM(P2:Y2)</f>
        <v>74</v>
      </c>
      <c r="R3" s="60"/>
      <c r="S3" s="60"/>
      <c r="T3" s="60"/>
      <c r="U3" s="60"/>
      <c r="V3" s="60"/>
      <c r="W3" s="60"/>
      <c r="X3" s="60"/>
      <c r="Y3" s="14" t="s">
        <v>40</v>
      </c>
      <c r="Z3" s="54" t="s">
        <v>303</v>
      </c>
      <c r="AA3" s="60" t="s">
        <v>9</v>
      </c>
      <c r="AB3" s="60">
        <f>SUM(AA2:AJ2)+1</f>
        <v>72</v>
      </c>
      <c r="AC3" s="60"/>
      <c r="AD3" s="60"/>
      <c r="AE3" s="60"/>
      <c r="AF3" s="60"/>
      <c r="AG3" s="60"/>
      <c r="AH3" s="60"/>
      <c r="AI3" s="60"/>
      <c r="AJ3" s="14" t="s">
        <v>45</v>
      </c>
      <c r="AK3" s="54" t="s">
        <v>303</v>
      </c>
      <c r="AL3" s="60" t="s">
        <v>9</v>
      </c>
      <c r="AM3" s="60">
        <f>SUM(AL2:AU2)</f>
        <v>72</v>
      </c>
      <c r="AN3" s="60">
        <v>27</v>
      </c>
      <c r="AO3" s="60">
        <f>AM3+AN3</f>
        <v>99</v>
      </c>
      <c r="AP3" s="60">
        <f>AM3-AN3</f>
        <v>45</v>
      </c>
      <c r="AQ3" s="60"/>
      <c r="AR3" s="60"/>
      <c r="AS3" s="60"/>
      <c r="AT3" s="60"/>
    </row>
    <row r="4" spans="2:46" x14ac:dyDescent="0.25">
      <c r="B4" s="14" t="str">
        <f>Sheet1!B4</f>
        <v>Bayleef</v>
      </c>
      <c r="C4" s="46" t="s">
        <v>303</v>
      </c>
      <c r="N4" s="14" t="s">
        <v>324</v>
      </c>
      <c r="O4" s="54" t="s">
        <v>303</v>
      </c>
      <c r="P4" s="60"/>
      <c r="Q4" s="60"/>
      <c r="R4" s="60"/>
      <c r="S4" s="60"/>
      <c r="T4" s="60"/>
      <c r="U4" s="60"/>
      <c r="V4" s="60"/>
      <c r="W4" s="60"/>
      <c r="X4" s="60"/>
      <c r="Y4" s="14" t="s">
        <v>325</v>
      </c>
      <c r="Z4" s="54" t="s">
        <v>303</v>
      </c>
      <c r="AA4" s="60"/>
      <c r="AB4" s="60"/>
      <c r="AC4" s="60"/>
      <c r="AD4" s="60"/>
      <c r="AE4" s="60"/>
      <c r="AF4" s="60"/>
      <c r="AG4" s="60"/>
      <c r="AH4" s="60"/>
      <c r="AI4" s="60"/>
      <c r="AJ4" s="14" t="s">
        <v>46</v>
      </c>
      <c r="AK4" s="54" t="s">
        <v>303</v>
      </c>
      <c r="AL4" s="60"/>
      <c r="AM4" s="60"/>
      <c r="AN4" s="60">
        <f>AM3/100</f>
        <v>0.72</v>
      </c>
      <c r="AO4" s="61">
        <f>AO3/AN3</f>
        <v>3.6666666666666665</v>
      </c>
      <c r="AP4" s="60">
        <f>AP3+AM3</f>
        <v>117</v>
      </c>
      <c r="AQ4" s="60"/>
      <c r="AR4" s="60"/>
      <c r="AS4" s="60"/>
      <c r="AT4" s="60"/>
    </row>
    <row r="5" spans="2:46" x14ac:dyDescent="0.25">
      <c r="B5" s="14" t="str">
        <f>Sheet1!B5</f>
        <v>Meganium</v>
      </c>
      <c r="C5" s="46" t="s">
        <v>303</v>
      </c>
      <c r="N5" s="14" t="s">
        <v>280</v>
      </c>
      <c r="O5" s="54" t="s">
        <v>303</v>
      </c>
      <c r="P5" s="60"/>
      <c r="Q5" s="60"/>
      <c r="R5" s="60"/>
      <c r="S5" s="60"/>
      <c r="T5" s="60"/>
      <c r="U5" s="60"/>
      <c r="V5" s="60"/>
      <c r="W5" s="60"/>
      <c r="X5" s="60"/>
      <c r="Y5" s="14" t="s">
        <v>41</v>
      </c>
      <c r="Z5" s="54" t="s">
        <v>303</v>
      </c>
      <c r="AA5" s="60"/>
      <c r="AB5" s="60"/>
      <c r="AC5" s="60"/>
      <c r="AD5" s="60"/>
      <c r="AE5" s="60"/>
      <c r="AF5" s="60"/>
      <c r="AG5" s="60"/>
      <c r="AH5" s="60"/>
      <c r="AI5" s="60"/>
      <c r="AJ5" s="14" t="s">
        <v>47</v>
      </c>
      <c r="AK5" s="54" t="s">
        <v>303</v>
      </c>
      <c r="AL5" s="60"/>
      <c r="AM5" s="37">
        <f>AN3/AM3</f>
        <v>0.375</v>
      </c>
      <c r="AN5" s="60">
        <f>AN3/AN4</f>
        <v>37.5</v>
      </c>
      <c r="AO5" s="37">
        <f>AO4/10</f>
        <v>0.36666666666666664</v>
      </c>
      <c r="AP5" s="60">
        <f>AP4/2</f>
        <v>58.5</v>
      </c>
      <c r="AQ5" s="60"/>
      <c r="AR5" s="60"/>
      <c r="AS5" s="60"/>
      <c r="AT5" s="60"/>
    </row>
    <row r="6" spans="2:46" x14ac:dyDescent="0.25">
      <c r="B6" s="14" t="s">
        <v>281</v>
      </c>
      <c r="C6" s="46" t="s">
        <v>303</v>
      </c>
      <c r="N6" s="14" t="s">
        <v>32</v>
      </c>
      <c r="O6" s="54" t="s">
        <v>303</v>
      </c>
      <c r="P6" s="60"/>
      <c r="Q6" s="60"/>
      <c r="R6" s="60"/>
      <c r="S6" s="60"/>
      <c r="T6" s="60"/>
      <c r="U6" s="60"/>
      <c r="V6" s="60"/>
      <c r="W6" s="60"/>
      <c r="X6" s="60"/>
      <c r="Y6" s="14" t="s">
        <v>38</v>
      </c>
      <c r="Z6" s="54" t="s">
        <v>303</v>
      </c>
      <c r="AA6" s="60"/>
      <c r="AB6" s="60"/>
      <c r="AC6" s="60"/>
      <c r="AD6" s="60"/>
      <c r="AE6" s="60"/>
      <c r="AF6" s="60"/>
      <c r="AG6" s="60"/>
      <c r="AH6" s="60"/>
      <c r="AI6" s="60"/>
      <c r="AJ6" s="14" t="s">
        <v>50</v>
      </c>
      <c r="AK6" s="54" t="s">
        <v>303</v>
      </c>
      <c r="AL6" s="60"/>
      <c r="AM6" s="60"/>
      <c r="AN6" s="60"/>
      <c r="AO6" s="60"/>
      <c r="AP6" s="60"/>
      <c r="AQ6" s="60"/>
      <c r="AR6" s="60"/>
      <c r="AS6" s="60"/>
      <c r="AT6" s="60"/>
    </row>
    <row r="7" spans="2:46" x14ac:dyDescent="0.25">
      <c r="B7" s="14" t="s">
        <v>35</v>
      </c>
      <c r="C7" s="46" t="s">
        <v>303</v>
      </c>
      <c r="N7" s="14" t="s">
        <v>34</v>
      </c>
      <c r="O7" s="54" t="s">
        <v>303</v>
      </c>
      <c r="P7" s="60"/>
      <c r="Q7" s="60"/>
      <c r="R7" s="60"/>
      <c r="S7" s="60"/>
      <c r="T7" s="60"/>
      <c r="U7" s="60"/>
      <c r="V7" s="60"/>
      <c r="W7" s="60"/>
      <c r="X7" s="60"/>
      <c r="Y7" s="14" t="s">
        <v>39</v>
      </c>
      <c r="Z7" s="54" t="s">
        <v>303</v>
      </c>
      <c r="AA7" s="60"/>
      <c r="AB7" s="60"/>
      <c r="AC7" s="60"/>
      <c r="AD7" s="60"/>
      <c r="AE7" s="60"/>
      <c r="AF7" s="60"/>
      <c r="AG7" s="60"/>
      <c r="AH7" s="60"/>
      <c r="AI7" s="60"/>
      <c r="AJ7" s="14" t="s">
        <v>51</v>
      </c>
      <c r="AK7" s="54" t="s">
        <v>303</v>
      </c>
      <c r="AL7" s="60"/>
      <c r="AM7" s="60"/>
      <c r="AN7" s="60"/>
      <c r="AO7" s="60"/>
      <c r="AP7" s="60"/>
      <c r="AQ7" s="60"/>
      <c r="AR7" s="60"/>
      <c r="AS7" s="60"/>
      <c r="AT7" s="60"/>
    </row>
    <row r="8" spans="2:46" x14ac:dyDescent="0.25">
      <c r="B8" s="14" t="s">
        <v>36</v>
      </c>
      <c r="C8" s="46" t="s">
        <v>303</v>
      </c>
      <c r="N8" s="14" t="s">
        <v>33</v>
      </c>
      <c r="O8" s="54" t="s">
        <v>303</v>
      </c>
      <c r="P8" s="60"/>
      <c r="Q8" s="60"/>
      <c r="R8" s="60"/>
      <c r="S8" s="60"/>
      <c r="T8" s="60"/>
      <c r="U8" s="60"/>
      <c r="V8" s="60"/>
      <c r="W8" s="60"/>
      <c r="X8" s="60"/>
      <c r="Y8" s="14" t="s">
        <v>56</v>
      </c>
      <c r="Z8" s="54" t="s">
        <v>303</v>
      </c>
      <c r="AA8" s="60"/>
      <c r="AB8" s="60"/>
      <c r="AC8" s="60"/>
      <c r="AD8" s="60"/>
      <c r="AE8" s="60"/>
      <c r="AF8" s="60"/>
      <c r="AG8" s="60"/>
      <c r="AH8" s="60"/>
      <c r="AI8" s="60"/>
      <c r="AJ8" s="14" t="s">
        <v>48</v>
      </c>
      <c r="AK8" s="54" t="s">
        <v>303</v>
      </c>
      <c r="AL8" s="60"/>
      <c r="AM8" s="60"/>
      <c r="AN8" s="60"/>
      <c r="AO8" s="60"/>
      <c r="AP8" s="60"/>
      <c r="AQ8" s="60"/>
      <c r="AR8" s="60"/>
      <c r="AS8" s="60"/>
      <c r="AT8" s="60"/>
    </row>
    <row r="9" spans="2:46" x14ac:dyDescent="0.25">
      <c r="B9" s="14" t="s">
        <v>37</v>
      </c>
      <c r="C9" s="46" t="s">
        <v>303</v>
      </c>
      <c r="N9" s="14" t="s">
        <v>52</v>
      </c>
      <c r="O9" s="54" t="s">
        <v>303</v>
      </c>
      <c r="P9" s="60"/>
      <c r="Q9" s="60"/>
      <c r="R9" s="60"/>
      <c r="S9" s="60"/>
      <c r="T9" s="60"/>
      <c r="U9" s="60"/>
      <c r="V9" s="60"/>
      <c r="W9" s="60"/>
      <c r="X9" s="60"/>
      <c r="Y9" s="14" t="s">
        <v>57</v>
      </c>
      <c r="Z9" s="54" t="s">
        <v>303</v>
      </c>
      <c r="AA9" s="60"/>
      <c r="AB9" s="60"/>
      <c r="AC9" s="60"/>
      <c r="AD9" s="60"/>
      <c r="AE9" s="60"/>
      <c r="AF9" s="60"/>
      <c r="AG9" s="60"/>
      <c r="AH9" s="60"/>
      <c r="AI9" s="60"/>
      <c r="AJ9" s="14" t="s">
        <v>49</v>
      </c>
      <c r="AK9" s="54" t="s">
        <v>303</v>
      </c>
      <c r="AL9" s="60"/>
      <c r="AM9" s="60"/>
      <c r="AN9" s="60"/>
      <c r="AO9" s="60"/>
      <c r="AP9" s="60"/>
      <c r="AQ9" s="60"/>
      <c r="AR9" s="60"/>
      <c r="AS9" s="60"/>
      <c r="AT9" s="60"/>
    </row>
    <row r="10" spans="2:46" x14ac:dyDescent="0.25">
      <c r="B10" s="14" t="s">
        <v>42</v>
      </c>
      <c r="C10" s="46" t="s">
        <v>303</v>
      </c>
      <c r="N10" s="14" t="s">
        <v>53</v>
      </c>
      <c r="O10" s="54" t="s">
        <v>303</v>
      </c>
      <c r="P10" s="60"/>
      <c r="Q10" s="60"/>
      <c r="R10" s="60"/>
      <c r="S10" s="60"/>
      <c r="T10" s="60"/>
      <c r="U10" s="60"/>
      <c r="V10" s="60"/>
      <c r="W10" s="60"/>
      <c r="X10" s="60"/>
      <c r="Y10" s="14" t="s">
        <v>354</v>
      </c>
      <c r="Z10" s="54" t="s">
        <v>303</v>
      </c>
      <c r="AA10" s="60"/>
      <c r="AB10" s="60"/>
      <c r="AC10" s="60"/>
      <c r="AD10" s="60"/>
      <c r="AE10" s="60"/>
      <c r="AF10" s="60"/>
      <c r="AG10" s="60"/>
      <c r="AH10" s="60"/>
      <c r="AI10" s="60"/>
      <c r="AJ10" s="14" t="s">
        <v>110</v>
      </c>
      <c r="AK10" s="54" t="s">
        <v>303</v>
      </c>
      <c r="AL10" s="60"/>
      <c r="AM10" s="60"/>
      <c r="AN10" s="60"/>
      <c r="AO10" s="60"/>
      <c r="AP10" s="60"/>
      <c r="AQ10" s="60"/>
      <c r="AR10" s="60"/>
      <c r="AS10" s="60"/>
      <c r="AT10" s="60"/>
    </row>
    <row r="11" spans="2:46" x14ac:dyDescent="0.25">
      <c r="B11" s="14" t="s">
        <v>283</v>
      </c>
      <c r="C11" s="46" t="s">
        <v>303</v>
      </c>
      <c r="N11" s="14" t="s">
        <v>111</v>
      </c>
      <c r="O11" s="54" t="s">
        <v>303</v>
      </c>
      <c r="P11" s="60"/>
      <c r="Q11" s="60"/>
      <c r="R11" s="60"/>
      <c r="S11" s="60"/>
      <c r="T11" s="60"/>
      <c r="U11" s="60"/>
      <c r="V11" s="60"/>
      <c r="W11" s="60"/>
      <c r="X11" s="60"/>
      <c r="Y11" s="14" t="s">
        <v>44</v>
      </c>
      <c r="Z11" s="54" t="s">
        <v>303</v>
      </c>
      <c r="AA11" s="60"/>
      <c r="AB11" s="60"/>
      <c r="AC11" s="60"/>
      <c r="AD11" s="60"/>
      <c r="AE11" s="60"/>
      <c r="AF11" s="60"/>
      <c r="AG11" s="60"/>
      <c r="AH11" s="60"/>
      <c r="AI11" s="60"/>
      <c r="AJ11" s="14" t="s">
        <v>91</v>
      </c>
      <c r="AK11" s="56" t="s">
        <v>297</v>
      </c>
      <c r="AL11" s="60"/>
      <c r="AM11" s="60"/>
      <c r="AN11" s="60"/>
      <c r="AO11" s="60"/>
      <c r="AP11" s="60"/>
      <c r="AQ11" s="60"/>
      <c r="AR11" s="60"/>
      <c r="AS11" s="60"/>
      <c r="AT11" s="60"/>
    </row>
    <row r="12" spans="2:46" x14ac:dyDescent="0.25">
      <c r="B12" s="14" t="s">
        <v>79</v>
      </c>
      <c r="C12" s="47" t="s">
        <v>297</v>
      </c>
      <c r="N12" s="14" t="s">
        <v>307</v>
      </c>
      <c r="O12" s="56" t="s">
        <v>297</v>
      </c>
      <c r="P12" s="60"/>
      <c r="Q12" s="60"/>
      <c r="R12" s="60"/>
      <c r="S12" s="60"/>
      <c r="T12" s="60"/>
      <c r="U12" s="60"/>
      <c r="V12" s="60"/>
      <c r="W12" s="60"/>
      <c r="X12" s="60"/>
      <c r="Y12" s="14" t="s">
        <v>82</v>
      </c>
      <c r="Z12" s="56" t="s">
        <v>297</v>
      </c>
      <c r="AA12" s="60"/>
      <c r="AB12" s="60"/>
      <c r="AC12" s="60"/>
      <c r="AD12" s="60"/>
      <c r="AE12" s="60"/>
      <c r="AF12" s="60"/>
      <c r="AG12" s="60"/>
      <c r="AH12" s="60"/>
      <c r="AI12" s="60"/>
      <c r="AJ12" s="14" t="s">
        <v>92</v>
      </c>
      <c r="AK12" s="56" t="s">
        <v>297</v>
      </c>
      <c r="AL12" s="60"/>
      <c r="AM12" s="60"/>
      <c r="AN12" s="60"/>
      <c r="AO12" s="60"/>
      <c r="AP12" s="60"/>
      <c r="AQ12" s="60"/>
      <c r="AR12" s="60"/>
      <c r="AS12" s="60"/>
      <c r="AT12" s="60"/>
    </row>
    <row r="13" spans="2:46" x14ac:dyDescent="0.25">
      <c r="B13" s="14" t="s">
        <v>80</v>
      </c>
      <c r="C13" s="47" t="s">
        <v>297</v>
      </c>
      <c r="N13" s="14" t="s">
        <v>107</v>
      </c>
      <c r="O13" s="56" t="s">
        <v>297</v>
      </c>
      <c r="P13" s="60"/>
      <c r="Q13" s="60"/>
      <c r="R13" s="60"/>
      <c r="S13" s="60"/>
      <c r="T13" s="60"/>
      <c r="U13" s="60"/>
      <c r="V13" s="60"/>
      <c r="W13" s="60"/>
      <c r="X13" s="60"/>
      <c r="Y13" s="14" t="s">
        <v>83</v>
      </c>
      <c r="Z13" s="56" t="s">
        <v>297</v>
      </c>
      <c r="AA13" s="60"/>
      <c r="AB13" s="60"/>
      <c r="AC13" s="60"/>
      <c r="AD13" s="60"/>
      <c r="AE13" s="60"/>
      <c r="AF13" s="60"/>
      <c r="AG13" s="60"/>
      <c r="AH13" s="60"/>
      <c r="AI13" s="60"/>
      <c r="AJ13" s="14" t="s">
        <v>287</v>
      </c>
      <c r="AK13" s="56" t="s">
        <v>297</v>
      </c>
      <c r="AL13" s="60"/>
      <c r="AM13" s="60"/>
      <c r="AN13" s="60"/>
      <c r="AO13" s="60"/>
      <c r="AP13" s="60"/>
      <c r="AQ13" s="60"/>
      <c r="AR13" s="60"/>
      <c r="AS13" s="60"/>
      <c r="AT13" s="60"/>
    </row>
    <row r="14" spans="2:46" x14ac:dyDescent="0.25">
      <c r="B14" s="14" t="s">
        <v>81</v>
      </c>
      <c r="C14" s="47" t="s">
        <v>297</v>
      </c>
      <c r="N14" s="14" t="s">
        <v>108</v>
      </c>
      <c r="O14" s="56" t="s">
        <v>297</v>
      </c>
      <c r="P14" s="60"/>
      <c r="Q14" s="60"/>
      <c r="R14" s="60"/>
      <c r="S14" s="60"/>
      <c r="T14" s="60"/>
      <c r="U14" s="60"/>
      <c r="V14" s="60"/>
      <c r="W14" s="60"/>
      <c r="X14" s="60"/>
      <c r="Y14" s="14" t="s">
        <v>99</v>
      </c>
      <c r="Z14" s="56" t="s">
        <v>297</v>
      </c>
      <c r="AA14" s="60"/>
      <c r="AB14" s="60"/>
      <c r="AC14" s="60"/>
      <c r="AD14" s="60"/>
      <c r="AE14" s="60"/>
      <c r="AF14" s="60"/>
      <c r="AG14" s="60"/>
      <c r="AH14" s="60"/>
      <c r="AI14" s="60"/>
      <c r="AJ14" s="14" t="s">
        <v>288</v>
      </c>
      <c r="AK14" s="56" t="s">
        <v>297</v>
      </c>
      <c r="AL14" s="60"/>
      <c r="AM14" s="60"/>
      <c r="AN14" s="60"/>
      <c r="AO14" s="60"/>
      <c r="AP14" s="60"/>
      <c r="AQ14" s="60"/>
      <c r="AR14" s="60"/>
      <c r="AS14" s="60"/>
      <c r="AT14" s="60"/>
    </row>
    <row r="15" spans="2:46" x14ac:dyDescent="0.25">
      <c r="B15" s="14" t="s">
        <v>85</v>
      </c>
      <c r="C15" s="47" t="s">
        <v>297</v>
      </c>
      <c r="N15" s="14" t="s">
        <v>87</v>
      </c>
      <c r="O15" s="56" t="s">
        <v>297</v>
      </c>
      <c r="P15" s="60"/>
      <c r="Q15" s="60"/>
      <c r="R15" s="60"/>
      <c r="S15" s="60"/>
      <c r="T15" s="60"/>
      <c r="U15" s="60"/>
      <c r="V15" s="60"/>
      <c r="W15" s="60"/>
      <c r="X15" s="60"/>
      <c r="Y15" s="14" t="s">
        <v>100</v>
      </c>
      <c r="Z15" s="56" t="s">
        <v>297</v>
      </c>
      <c r="AA15" s="60"/>
      <c r="AB15" s="60"/>
      <c r="AC15" s="60"/>
      <c r="AD15" s="60"/>
      <c r="AE15" s="60"/>
      <c r="AF15" s="60"/>
      <c r="AG15" s="60"/>
      <c r="AH15" s="60"/>
      <c r="AI15" s="60"/>
      <c r="AJ15" s="14" t="s">
        <v>289</v>
      </c>
      <c r="AK15" s="56" t="s">
        <v>297</v>
      </c>
      <c r="AL15" s="60"/>
      <c r="AM15" s="60"/>
      <c r="AN15" s="60"/>
      <c r="AO15" s="60"/>
      <c r="AP15" s="60"/>
      <c r="AQ15" s="60"/>
      <c r="AR15" s="60"/>
      <c r="AS15" s="60"/>
      <c r="AT15" s="60"/>
    </row>
    <row r="16" spans="2:46" x14ac:dyDescent="0.25">
      <c r="B16" s="14" t="s">
        <v>86</v>
      </c>
      <c r="C16" s="47" t="s">
        <v>297</v>
      </c>
      <c r="N16" s="14" t="s">
        <v>88</v>
      </c>
      <c r="O16" s="56" t="s">
        <v>297</v>
      </c>
      <c r="P16" s="60"/>
      <c r="Q16" s="60"/>
      <c r="R16" s="60"/>
      <c r="S16" s="60"/>
      <c r="T16" s="60"/>
      <c r="U16" s="60"/>
      <c r="V16" s="60"/>
      <c r="W16" s="60"/>
      <c r="X16" s="60"/>
      <c r="Y16" s="14" t="s">
        <v>355</v>
      </c>
      <c r="Z16" s="56" t="s">
        <v>297</v>
      </c>
      <c r="AA16" s="60"/>
      <c r="AB16" s="60"/>
      <c r="AC16" s="60"/>
      <c r="AD16" s="60"/>
      <c r="AE16" s="60"/>
      <c r="AF16" s="60"/>
      <c r="AG16" s="60"/>
      <c r="AH16" s="60"/>
      <c r="AI16" s="60"/>
      <c r="AJ16" s="14" t="s">
        <v>106</v>
      </c>
      <c r="AK16" s="56" t="s">
        <v>297</v>
      </c>
      <c r="AL16" s="60"/>
      <c r="AM16" s="60"/>
      <c r="AN16" s="60"/>
      <c r="AO16" s="60"/>
      <c r="AP16" s="60"/>
      <c r="AQ16" s="60"/>
      <c r="AR16" s="60"/>
      <c r="AS16" s="60"/>
      <c r="AT16" s="60"/>
    </row>
    <row r="17" spans="2:46" x14ac:dyDescent="0.25">
      <c r="B17" s="14" t="s">
        <v>315</v>
      </c>
      <c r="C17" s="47" t="s">
        <v>297</v>
      </c>
      <c r="N17" s="14" t="s">
        <v>96</v>
      </c>
      <c r="O17" s="56" t="s">
        <v>297</v>
      </c>
      <c r="P17" s="60"/>
      <c r="Q17" s="60"/>
      <c r="R17" s="60"/>
      <c r="S17" s="60"/>
      <c r="T17" s="60"/>
      <c r="U17" s="60"/>
      <c r="V17" s="60"/>
      <c r="W17" s="60"/>
      <c r="X17" s="60"/>
      <c r="Y17" s="14" t="s">
        <v>356</v>
      </c>
      <c r="Z17" s="56" t="s">
        <v>297</v>
      </c>
      <c r="AA17" s="60"/>
      <c r="AB17" s="60"/>
      <c r="AC17" s="60"/>
      <c r="AD17" s="60"/>
      <c r="AE17" s="60"/>
      <c r="AF17" s="60"/>
      <c r="AG17" s="60"/>
      <c r="AH17" s="60"/>
      <c r="AI17" s="60"/>
      <c r="AJ17" s="14" t="s">
        <v>94</v>
      </c>
      <c r="AK17" s="56" t="s">
        <v>297</v>
      </c>
      <c r="AL17" s="60"/>
      <c r="AM17" s="60"/>
      <c r="AN17" s="60"/>
      <c r="AO17" s="60"/>
      <c r="AP17" s="60"/>
      <c r="AQ17" s="60"/>
      <c r="AR17" s="60"/>
      <c r="AS17" s="60"/>
      <c r="AT17" s="60"/>
    </row>
    <row r="18" spans="2:46" x14ac:dyDescent="0.25">
      <c r="B18" s="14" t="s">
        <v>316</v>
      </c>
      <c r="C18" s="47" t="s">
        <v>297</v>
      </c>
      <c r="N18" s="14" t="s">
        <v>97</v>
      </c>
      <c r="O18" s="56" t="s">
        <v>297</v>
      </c>
      <c r="P18" s="60"/>
      <c r="Q18" s="60"/>
      <c r="R18" s="60"/>
      <c r="S18" s="60"/>
      <c r="T18" s="60"/>
      <c r="U18" s="60"/>
      <c r="V18" s="60"/>
      <c r="W18" s="60"/>
      <c r="X18" s="60"/>
      <c r="Y18" s="14" t="s">
        <v>90</v>
      </c>
      <c r="Z18" s="56" t="s">
        <v>297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14" t="s">
        <v>128</v>
      </c>
      <c r="AK18" s="58" t="s">
        <v>298</v>
      </c>
      <c r="AL18" s="60"/>
      <c r="AM18" s="60"/>
      <c r="AN18" s="60"/>
      <c r="AO18" s="60"/>
      <c r="AP18" s="60"/>
      <c r="AQ18" s="60"/>
      <c r="AR18" s="60"/>
      <c r="AS18" s="60"/>
      <c r="AT18" s="60"/>
    </row>
    <row r="19" spans="2:46" x14ac:dyDescent="0.25">
      <c r="B19" s="14" t="s">
        <v>113</v>
      </c>
      <c r="C19" s="48" t="s">
        <v>298</v>
      </c>
      <c r="N19" s="14" t="s">
        <v>98</v>
      </c>
      <c r="O19" s="56" t="s">
        <v>297</v>
      </c>
      <c r="P19" s="60"/>
      <c r="Q19" s="60"/>
      <c r="R19" s="60"/>
      <c r="S19" s="60"/>
      <c r="T19" s="60"/>
      <c r="U19" s="60"/>
      <c r="V19" s="60"/>
      <c r="W19" s="60"/>
      <c r="X19" s="60"/>
      <c r="Y19" s="14" t="s">
        <v>133</v>
      </c>
      <c r="Z19" s="58" t="s">
        <v>298</v>
      </c>
      <c r="AA19" s="60"/>
      <c r="AB19" s="60"/>
      <c r="AC19" s="60"/>
      <c r="AD19" s="60"/>
      <c r="AE19" s="60"/>
      <c r="AF19" s="60"/>
      <c r="AG19" s="60"/>
      <c r="AH19" s="60"/>
      <c r="AI19" s="60"/>
      <c r="AJ19" s="14" t="s">
        <v>129</v>
      </c>
      <c r="AK19" s="58" t="s">
        <v>298</v>
      </c>
      <c r="AL19" s="60"/>
      <c r="AM19" s="60"/>
      <c r="AN19" s="60"/>
      <c r="AO19" s="60"/>
      <c r="AP19" s="60"/>
      <c r="AQ19" s="60"/>
      <c r="AR19" s="60"/>
      <c r="AS19" s="60"/>
      <c r="AT19" s="60"/>
    </row>
    <row r="20" spans="2:46" x14ac:dyDescent="0.25">
      <c r="B20" s="14" t="s">
        <v>114</v>
      </c>
      <c r="C20" s="48" t="s">
        <v>298</v>
      </c>
      <c r="N20" s="14" t="s">
        <v>93</v>
      </c>
      <c r="O20" s="56" t="s">
        <v>297</v>
      </c>
      <c r="P20" s="60"/>
      <c r="Q20" s="60"/>
      <c r="R20" s="60"/>
      <c r="S20" s="60"/>
      <c r="T20" s="60"/>
      <c r="U20" s="60"/>
      <c r="V20" s="60"/>
      <c r="W20" s="60"/>
      <c r="X20" s="60"/>
      <c r="Y20" s="14" t="s">
        <v>134</v>
      </c>
      <c r="Z20" s="58" t="s">
        <v>298</v>
      </c>
      <c r="AA20" s="60"/>
      <c r="AB20" s="60"/>
      <c r="AC20" s="60"/>
      <c r="AD20" s="60"/>
      <c r="AE20" s="60"/>
      <c r="AF20" s="60"/>
      <c r="AG20" s="60"/>
      <c r="AH20" s="60"/>
      <c r="AI20" s="60"/>
      <c r="AJ20" s="14" t="s">
        <v>130</v>
      </c>
      <c r="AK20" s="58" t="s">
        <v>298</v>
      </c>
      <c r="AL20" s="60"/>
      <c r="AM20" s="60"/>
      <c r="AN20" s="60"/>
      <c r="AO20" s="60"/>
      <c r="AP20" s="60"/>
      <c r="AQ20" s="60"/>
      <c r="AR20" s="60"/>
      <c r="AS20" s="60"/>
      <c r="AT20" s="60"/>
    </row>
    <row r="21" spans="2:46" x14ac:dyDescent="0.25">
      <c r="B21" s="14" t="s">
        <v>115</v>
      </c>
      <c r="C21" s="48" t="s">
        <v>298</v>
      </c>
      <c r="N21" s="14" t="s">
        <v>141</v>
      </c>
      <c r="O21" s="58" t="s">
        <v>298</v>
      </c>
      <c r="P21" s="60"/>
      <c r="Q21" s="60"/>
      <c r="R21" s="60"/>
      <c r="S21" s="60"/>
      <c r="T21" s="60"/>
      <c r="U21" s="60"/>
      <c r="V21" s="60"/>
      <c r="W21" s="60"/>
      <c r="X21" s="60"/>
      <c r="Y21" s="14" t="s">
        <v>119</v>
      </c>
      <c r="Z21" s="58" t="s">
        <v>298</v>
      </c>
      <c r="AA21" s="60"/>
      <c r="AB21" s="60"/>
      <c r="AC21" s="60"/>
      <c r="AD21" s="60"/>
      <c r="AE21" s="60"/>
      <c r="AF21" s="60"/>
      <c r="AG21" s="60"/>
      <c r="AH21" s="60"/>
      <c r="AI21" s="60"/>
      <c r="AJ21" s="14" t="s">
        <v>145</v>
      </c>
      <c r="AK21" s="58" t="s">
        <v>298</v>
      </c>
      <c r="AL21" s="60"/>
      <c r="AM21" s="60"/>
      <c r="AN21" s="60"/>
      <c r="AO21" s="60"/>
      <c r="AP21" s="60"/>
      <c r="AQ21" s="60"/>
      <c r="AR21" s="60"/>
      <c r="AS21" s="60"/>
      <c r="AT21" s="60"/>
    </row>
    <row r="22" spans="2:46" x14ac:dyDescent="0.25">
      <c r="B22" s="14" t="s">
        <v>116</v>
      </c>
      <c r="C22" s="48" t="s">
        <v>298</v>
      </c>
      <c r="N22" s="14" t="s">
        <v>142</v>
      </c>
      <c r="O22" s="58" t="s">
        <v>298</v>
      </c>
      <c r="P22" s="60"/>
      <c r="Q22" s="60"/>
      <c r="R22" s="60"/>
      <c r="S22" s="60"/>
      <c r="T22" s="60"/>
      <c r="U22" s="60"/>
      <c r="V22" s="60"/>
      <c r="W22" s="60"/>
      <c r="X22" s="60"/>
      <c r="Y22" s="14" t="s">
        <v>120</v>
      </c>
      <c r="Z22" s="58" t="s">
        <v>298</v>
      </c>
      <c r="AA22" s="60"/>
      <c r="AB22" s="60"/>
      <c r="AC22" s="60"/>
      <c r="AD22" s="60"/>
      <c r="AE22" s="60"/>
      <c r="AF22" s="60"/>
      <c r="AG22" s="60"/>
      <c r="AH22" s="60"/>
      <c r="AI22" s="60"/>
      <c r="AJ22" s="14" t="s">
        <v>139</v>
      </c>
      <c r="AK22" s="58" t="s">
        <v>298</v>
      </c>
      <c r="AL22" s="60"/>
      <c r="AM22" s="60"/>
      <c r="AN22" s="60"/>
      <c r="AO22" s="60"/>
      <c r="AP22" s="60"/>
      <c r="AQ22" s="60"/>
      <c r="AR22" s="60"/>
      <c r="AS22" s="60"/>
      <c r="AT22" s="60"/>
    </row>
    <row r="23" spans="2:46" x14ac:dyDescent="0.25">
      <c r="B23" s="14" t="s">
        <v>117</v>
      </c>
      <c r="C23" s="48" t="s">
        <v>298</v>
      </c>
      <c r="N23" s="14" t="s">
        <v>143</v>
      </c>
      <c r="O23" s="58" t="s">
        <v>298</v>
      </c>
      <c r="P23" s="60"/>
      <c r="Q23" s="60"/>
      <c r="R23" s="60"/>
      <c r="S23" s="60"/>
      <c r="T23" s="60"/>
      <c r="U23" s="60"/>
      <c r="V23" s="60"/>
      <c r="W23" s="60"/>
      <c r="X23" s="60"/>
      <c r="Y23" s="14" t="s">
        <v>121</v>
      </c>
      <c r="Z23" s="58" t="s">
        <v>298</v>
      </c>
      <c r="AA23" s="60"/>
      <c r="AB23" s="60"/>
      <c r="AC23" s="60"/>
      <c r="AD23" s="60"/>
      <c r="AE23" s="60"/>
      <c r="AF23" s="60"/>
      <c r="AG23" s="60"/>
      <c r="AH23" s="60"/>
      <c r="AI23" s="60"/>
      <c r="AJ23" s="14" t="s">
        <v>140</v>
      </c>
      <c r="AK23" s="58" t="s">
        <v>298</v>
      </c>
      <c r="AL23" s="60"/>
      <c r="AM23" s="60"/>
      <c r="AN23" s="60"/>
      <c r="AO23" s="60"/>
      <c r="AP23" s="60"/>
      <c r="AQ23" s="60"/>
      <c r="AR23" s="60"/>
      <c r="AS23" s="60"/>
      <c r="AT23" s="60"/>
    </row>
    <row r="24" spans="2:46" x14ac:dyDescent="0.25">
      <c r="B24" s="14" t="s">
        <v>123</v>
      </c>
      <c r="C24" s="48" t="s">
        <v>298</v>
      </c>
      <c r="N24" s="14" t="s">
        <v>126</v>
      </c>
      <c r="O24" s="58" t="s">
        <v>298</v>
      </c>
      <c r="P24" s="60"/>
      <c r="Q24" s="60"/>
      <c r="R24" s="60"/>
      <c r="S24" s="60"/>
      <c r="T24" s="60"/>
      <c r="U24" s="60"/>
      <c r="V24" s="60"/>
      <c r="W24" s="60"/>
      <c r="X24" s="60"/>
      <c r="Y24" s="14" t="s">
        <v>131</v>
      </c>
      <c r="Z24" s="58" t="s">
        <v>298</v>
      </c>
      <c r="AA24" s="60"/>
      <c r="AB24" s="60"/>
      <c r="AC24" s="60"/>
      <c r="AD24" s="60"/>
      <c r="AE24" s="60"/>
      <c r="AF24" s="60"/>
      <c r="AG24" s="60"/>
      <c r="AH24" s="60"/>
      <c r="AI24" s="60"/>
      <c r="AJ24" s="14" t="s">
        <v>166</v>
      </c>
      <c r="AK24" s="4" t="s">
        <v>300</v>
      </c>
      <c r="AL24" s="60"/>
      <c r="AM24" s="60"/>
      <c r="AN24" s="60"/>
      <c r="AO24" s="60"/>
      <c r="AP24" s="60"/>
      <c r="AQ24" s="60"/>
      <c r="AR24" s="60"/>
      <c r="AS24" s="60"/>
      <c r="AT24" s="60"/>
    </row>
    <row r="25" spans="2:46" x14ac:dyDescent="0.25">
      <c r="B25" s="14" t="s">
        <v>122</v>
      </c>
      <c r="C25" s="48" t="s">
        <v>298</v>
      </c>
      <c r="N25" s="14" t="s">
        <v>127</v>
      </c>
      <c r="O25" s="58" t="s">
        <v>298</v>
      </c>
      <c r="P25" s="60"/>
      <c r="Q25" s="60"/>
      <c r="R25" s="60"/>
      <c r="S25" s="60"/>
      <c r="T25" s="60"/>
      <c r="U25" s="60"/>
      <c r="V25" s="60"/>
      <c r="W25" s="60"/>
      <c r="X25" s="60"/>
      <c r="Y25" s="14" t="s">
        <v>132</v>
      </c>
      <c r="Z25" s="58" t="s">
        <v>298</v>
      </c>
      <c r="AA25" s="60"/>
      <c r="AB25" s="60"/>
      <c r="AC25" s="60"/>
      <c r="AD25" s="60"/>
      <c r="AE25" s="60"/>
      <c r="AF25" s="60"/>
      <c r="AG25" s="60"/>
      <c r="AH25" s="60"/>
      <c r="AI25" s="60"/>
      <c r="AJ25" s="14" t="s">
        <v>167</v>
      </c>
      <c r="AK25" s="4" t="s">
        <v>300</v>
      </c>
      <c r="AL25" s="60"/>
      <c r="AM25" s="60"/>
      <c r="AN25" s="60"/>
      <c r="AO25" s="60"/>
      <c r="AP25" s="60"/>
      <c r="AQ25" s="60"/>
      <c r="AR25" s="60"/>
      <c r="AS25" s="60"/>
      <c r="AT25" s="60"/>
    </row>
    <row r="26" spans="2:46" x14ac:dyDescent="0.25">
      <c r="B26" s="14" t="s">
        <v>118</v>
      </c>
      <c r="C26" s="48" t="s">
        <v>298</v>
      </c>
      <c r="N26" s="14" t="s">
        <v>338</v>
      </c>
      <c r="O26" s="58" t="s">
        <v>298</v>
      </c>
      <c r="P26" s="60"/>
      <c r="Q26" s="60"/>
      <c r="R26" s="60"/>
      <c r="S26" s="60"/>
      <c r="T26" s="60"/>
      <c r="U26" s="60"/>
      <c r="V26" s="60"/>
      <c r="W26" s="60"/>
      <c r="X26" s="60"/>
      <c r="Y26" s="14" t="s">
        <v>135</v>
      </c>
      <c r="Z26" s="58" t="s">
        <v>298</v>
      </c>
      <c r="AA26" s="60"/>
      <c r="AB26" s="60"/>
      <c r="AC26" s="60"/>
      <c r="AD26" s="60"/>
      <c r="AE26" s="60"/>
      <c r="AF26" s="60"/>
      <c r="AG26" s="60"/>
      <c r="AH26" s="60"/>
      <c r="AI26" s="60"/>
      <c r="AJ26" s="14" t="s">
        <v>173</v>
      </c>
      <c r="AK26" s="4" t="s">
        <v>300</v>
      </c>
      <c r="AL26" s="60"/>
      <c r="AM26" s="60"/>
      <c r="AN26" s="60"/>
      <c r="AO26" s="60"/>
      <c r="AP26" s="60"/>
      <c r="AQ26" s="60"/>
      <c r="AR26" s="60"/>
      <c r="AS26" s="60"/>
      <c r="AT26" s="60"/>
    </row>
    <row r="27" spans="2:46" ht="15" customHeight="1" x14ac:dyDescent="0.25">
      <c r="B27" s="14" t="s">
        <v>156</v>
      </c>
      <c r="C27" s="4" t="s">
        <v>300</v>
      </c>
      <c r="N27" s="14" t="s">
        <v>125</v>
      </c>
      <c r="O27" s="58" t="s">
        <v>298</v>
      </c>
      <c r="P27" s="60"/>
      <c r="Q27" s="60"/>
      <c r="R27" s="60"/>
      <c r="S27" s="60"/>
      <c r="T27" s="60"/>
      <c r="U27" s="60"/>
      <c r="V27" s="60"/>
      <c r="W27" s="60"/>
      <c r="X27" s="60"/>
      <c r="Y27" s="14" t="s">
        <v>136</v>
      </c>
      <c r="Z27" s="58" t="s">
        <v>298</v>
      </c>
      <c r="AA27" s="60"/>
      <c r="AB27" s="60"/>
      <c r="AC27" s="60"/>
      <c r="AD27" s="60"/>
      <c r="AE27" s="60"/>
      <c r="AF27" s="60"/>
      <c r="AG27" s="60"/>
      <c r="AH27" s="60"/>
      <c r="AI27" s="60"/>
      <c r="AJ27" s="14" t="s">
        <v>174</v>
      </c>
      <c r="AK27" s="4" t="s">
        <v>300</v>
      </c>
      <c r="AL27" s="60"/>
      <c r="AM27" s="60"/>
      <c r="AN27" s="60"/>
      <c r="AO27" s="60"/>
      <c r="AP27" s="60"/>
      <c r="AQ27" s="60"/>
      <c r="AR27" s="60"/>
      <c r="AS27" s="60"/>
      <c r="AT27" s="60"/>
    </row>
    <row r="28" spans="2:46" ht="15" customHeight="1" x14ac:dyDescent="0.25">
      <c r="B28" s="14" t="s">
        <v>157</v>
      </c>
      <c r="C28" s="4" t="s">
        <v>300</v>
      </c>
      <c r="N28" s="14" t="s">
        <v>137</v>
      </c>
      <c r="O28" s="58" t="s">
        <v>298</v>
      </c>
      <c r="P28" s="60"/>
      <c r="Q28" s="60"/>
      <c r="R28" s="60"/>
      <c r="S28" s="60"/>
      <c r="T28" s="60"/>
      <c r="U28" s="60"/>
      <c r="V28" s="60"/>
      <c r="W28" s="60"/>
      <c r="X28" s="60"/>
      <c r="Y28" s="14" t="s">
        <v>152</v>
      </c>
      <c r="Z28" s="4" t="s">
        <v>300</v>
      </c>
      <c r="AA28" s="60"/>
      <c r="AB28" s="60"/>
      <c r="AC28" s="60"/>
      <c r="AD28" s="60"/>
      <c r="AE28" s="60"/>
      <c r="AF28" s="60"/>
      <c r="AG28" s="60"/>
      <c r="AH28" s="60"/>
      <c r="AI28" s="60"/>
      <c r="AJ28" s="14" t="s">
        <v>175</v>
      </c>
      <c r="AK28" s="4" t="s">
        <v>300</v>
      </c>
      <c r="AL28" s="60"/>
      <c r="AM28" s="60"/>
      <c r="AN28" s="60"/>
      <c r="AO28" s="60"/>
      <c r="AP28" s="60"/>
      <c r="AQ28" s="60"/>
      <c r="AR28" s="60"/>
      <c r="AS28" s="60"/>
      <c r="AT28" s="60"/>
    </row>
    <row r="29" spans="2:46" ht="15" customHeight="1" x14ac:dyDescent="0.25">
      <c r="B29" s="14" t="s">
        <v>158</v>
      </c>
      <c r="C29" s="4" t="s">
        <v>300</v>
      </c>
      <c r="N29" s="14" t="s">
        <v>138</v>
      </c>
      <c r="O29" s="58" t="s">
        <v>298</v>
      </c>
      <c r="P29" s="60"/>
      <c r="Q29" s="60"/>
      <c r="R29" s="60"/>
      <c r="S29" s="60"/>
      <c r="T29" s="60"/>
      <c r="U29" s="60"/>
      <c r="V29" s="60"/>
      <c r="W29" s="60"/>
      <c r="X29" s="60"/>
      <c r="Y29" s="14" t="s">
        <v>153</v>
      </c>
      <c r="Z29" s="4" t="s">
        <v>300</v>
      </c>
      <c r="AA29" s="60"/>
      <c r="AB29" s="60"/>
      <c r="AC29" s="60"/>
      <c r="AD29" s="60"/>
      <c r="AE29" s="60"/>
      <c r="AF29" s="60"/>
      <c r="AG29" s="60"/>
      <c r="AH29" s="60"/>
      <c r="AI29" s="60"/>
      <c r="AJ29" s="14" t="s">
        <v>159</v>
      </c>
      <c r="AK29" s="4" t="s">
        <v>300</v>
      </c>
      <c r="AL29" s="60"/>
      <c r="AM29" s="60"/>
      <c r="AN29" s="60"/>
      <c r="AO29" s="60"/>
      <c r="AP29" s="60"/>
      <c r="AQ29" s="60"/>
      <c r="AR29" s="60"/>
      <c r="AS29" s="60"/>
      <c r="AT29" s="60"/>
    </row>
    <row r="30" spans="2:46" ht="15" customHeight="1" x14ac:dyDescent="0.25">
      <c r="B30" s="14" t="s">
        <v>147</v>
      </c>
      <c r="C30" s="4" t="s">
        <v>300</v>
      </c>
      <c r="N30" s="14" t="s">
        <v>309</v>
      </c>
      <c r="O30" s="4" t="s">
        <v>300</v>
      </c>
      <c r="P30" s="60"/>
      <c r="Q30" s="60"/>
      <c r="R30" s="60"/>
      <c r="S30" s="60"/>
      <c r="T30" s="60"/>
      <c r="U30" s="60"/>
      <c r="V30" s="60"/>
      <c r="W30" s="60"/>
      <c r="X30" s="60"/>
      <c r="Y30" s="14" t="s">
        <v>154</v>
      </c>
      <c r="Z30" s="4" t="s">
        <v>300</v>
      </c>
      <c r="AA30" s="60"/>
      <c r="AB30" s="60"/>
      <c r="AC30" s="60"/>
      <c r="AD30" s="60"/>
      <c r="AE30" s="60"/>
      <c r="AF30" s="60"/>
      <c r="AG30" s="60"/>
      <c r="AH30" s="60"/>
      <c r="AI30" s="60"/>
      <c r="AJ30" s="14" t="s">
        <v>160</v>
      </c>
      <c r="AK30" s="4" t="s">
        <v>300</v>
      </c>
      <c r="AL30" s="60"/>
      <c r="AM30" s="60"/>
      <c r="AN30" s="60"/>
      <c r="AO30" s="60"/>
      <c r="AP30" s="60"/>
      <c r="AQ30" s="60"/>
      <c r="AR30" s="60"/>
      <c r="AS30" s="60"/>
      <c r="AT30" s="60"/>
    </row>
    <row r="31" spans="2:46" ht="15" customHeight="1" x14ac:dyDescent="0.25">
      <c r="B31" s="14" t="s">
        <v>148</v>
      </c>
      <c r="C31" s="4" t="s">
        <v>300</v>
      </c>
      <c r="N31" s="14" t="s">
        <v>164</v>
      </c>
      <c r="O31" s="4" t="s">
        <v>300</v>
      </c>
      <c r="P31" s="60"/>
      <c r="Q31" s="60"/>
      <c r="R31" s="60"/>
      <c r="S31" s="60"/>
      <c r="T31" s="60"/>
      <c r="U31" s="60"/>
      <c r="V31" s="60"/>
      <c r="W31" s="60"/>
      <c r="X31" s="60"/>
      <c r="Y31" s="14" t="s">
        <v>155</v>
      </c>
      <c r="Z31" s="4" t="s">
        <v>300</v>
      </c>
      <c r="AA31" s="60"/>
      <c r="AB31" s="60"/>
      <c r="AC31" s="60"/>
      <c r="AD31" s="60"/>
      <c r="AE31" s="60"/>
      <c r="AF31" s="60"/>
      <c r="AG31" s="60"/>
      <c r="AH31" s="60"/>
      <c r="AI31" s="60"/>
      <c r="AJ31" s="14" t="s">
        <v>161</v>
      </c>
      <c r="AK31" s="4" t="s">
        <v>300</v>
      </c>
      <c r="AL31" s="60"/>
      <c r="AM31" s="60"/>
      <c r="AN31" s="60"/>
      <c r="AO31" s="60"/>
      <c r="AP31" s="60"/>
      <c r="AQ31" s="60"/>
      <c r="AR31" s="60"/>
      <c r="AS31" s="60"/>
      <c r="AT31" s="60"/>
    </row>
    <row r="32" spans="2:46" ht="15" customHeight="1" x14ac:dyDescent="0.25">
      <c r="B32" s="14" t="s">
        <v>150</v>
      </c>
      <c r="C32" s="4" t="s">
        <v>300</v>
      </c>
      <c r="N32" s="14" t="s">
        <v>165</v>
      </c>
      <c r="O32" s="4" t="s">
        <v>300</v>
      </c>
      <c r="P32" s="60"/>
      <c r="Q32" s="60"/>
      <c r="R32" s="60"/>
      <c r="S32" s="60"/>
      <c r="T32" s="60"/>
      <c r="U32" s="60"/>
      <c r="V32" s="60"/>
      <c r="W32" s="60"/>
      <c r="X32" s="60"/>
      <c r="Y32" s="14" t="s">
        <v>54</v>
      </c>
      <c r="Z32" s="4" t="s">
        <v>300</v>
      </c>
      <c r="AA32" s="60"/>
      <c r="AB32" s="60"/>
      <c r="AC32" s="60"/>
      <c r="AD32" s="60"/>
      <c r="AE32" s="60"/>
      <c r="AF32" s="60"/>
      <c r="AG32" s="60"/>
      <c r="AH32" s="60"/>
      <c r="AI32" s="60"/>
      <c r="AJ32" s="14" t="s">
        <v>291</v>
      </c>
      <c r="AK32" s="55" t="s">
        <v>302</v>
      </c>
      <c r="AL32" s="60"/>
      <c r="AM32" s="60"/>
      <c r="AN32" s="60"/>
      <c r="AO32" s="60"/>
      <c r="AP32" s="60"/>
      <c r="AQ32" s="60"/>
      <c r="AR32" s="60"/>
      <c r="AS32" s="60"/>
      <c r="AT32" s="60"/>
    </row>
    <row r="33" spans="2:46" ht="15" customHeight="1" x14ac:dyDescent="0.25">
      <c r="B33" s="14" t="s">
        <v>151</v>
      </c>
      <c r="C33" s="4" t="s">
        <v>300</v>
      </c>
      <c r="N33" s="14" t="s">
        <v>162</v>
      </c>
      <c r="O33" s="4" t="s">
        <v>300</v>
      </c>
      <c r="P33" s="60"/>
      <c r="Q33" s="60"/>
      <c r="R33" s="60"/>
      <c r="S33" s="60"/>
      <c r="T33" s="60"/>
      <c r="U33" s="60"/>
      <c r="V33" s="60"/>
      <c r="W33" s="60"/>
      <c r="X33" s="60"/>
      <c r="Y33" s="14" t="s">
        <v>169</v>
      </c>
      <c r="Z33" s="4" t="s">
        <v>300</v>
      </c>
      <c r="AA33" s="60"/>
      <c r="AB33" s="60"/>
      <c r="AC33" s="60"/>
      <c r="AD33" s="60"/>
      <c r="AE33" s="60"/>
      <c r="AF33" s="60"/>
      <c r="AG33" s="60"/>
      <c r="AH33" s="60"/>
      <c r="AI33" s="60"/>
      <c r="AJ33" s="14" t="s">
        <v>292</v>
      </c>
      <c r="AK33" s="55" t="s">
        <v>302</v>
      </c>
      <c r="AL33" s="60"/>
      <c r="AM33" s="60"/>
      <c r="AN33" s="60"/>
      <c r="AO33" s="60"/>
      <c r="AP33" s="60"/>
      <c r="AQ33" s="60"/>
      <c r="AR33" s="60"/>
      <c r="AS33" s="60"/>
      <c r="AT33" s="60"/>
    </row>
    <row r="34" spans="2:46" ht="15" customHeight="1" x14ac:dyDescent="0.25">
      <c r="B34" s="14" t="s">
        <v>149</v>
      </c>
      <c r="C34" s="4" t="s">
        <v>300</v>
      </c>
      <c r="N34" s="14" t="s">
        <v>163</v>
      </c>
      <c r="O34" s="4" t="s">
        <v>300</v>
      </c>
      <c r="P34" s="60"/>
      <c r="Q34" s="60"/>
      <c r="R34" s="60"/>
      <c r="S34" s="60"/>
      <c r="T34" s="60"/>
      <c r="U34" s="60"/>
      <c r="V34" s="60"/>
      <c r="W34" s="60"/>
      <c r="X34" s="60"/>
      <c r="Y34" s="14" t="s">
        <v>170</v>
      </c>
      <c r="Z34" s="4" t="s">
        <v>300</v>
      </c>
      <c r="AA34" s="60"/>
      <c r="AB34" s="60"/>
      <c r="AC34" s="60"/>
      <c r="AD34" s="60"/>
      <c r="AE34" s="60"/>
      <c r="AF34" s="60"/>
      <c r="AG34" s="60"/>
      <c r="AH34" s="60"/>
      <c r="AI34" s="60"/>
      <c r="AJ34" s="14" t="s">
        <v>293</v>
      </c>
      <c r="AK34" s="55" t="s">
        <v>302</v>
      </c>
      <c r="AL34" s="60"/>
      <c r="AM34" s="60"/>
      <c r="AN34" s="60"/>
      <c r="AO34" s="60"/>
      <c r="AP34" s="60"/>
      <c r="AQ34" s="60"/>
      <c r="AR34" s="60"/>
      <c r="AS34" s="60"/>
      <c r="AT34" s="60"/>
    </row>
    <row r="35" spans="2:46" x14ac:dyDescent="0.25">
      <c r="B35" s="14" t="s">
        <v>182</v>
      </c>
      <c r="C35" s="49" t="s">
        <v>302</v>
      </c>
      <c r="N35" s="14" t="s">
        <v>339</v>
      </c>
      <c r="O35" s="4" t="s">
        <v>300</v>
      </c>
      <c r="P35" s="60"/>
      <c r="Q35" s="60"/>
      <c r="R35" s="60"/>
      <c r="S35" s="60"/>
      <c r="T35" s="60"/>
      <c r="U35" s="60"/>
      <c r="V35" s="60"/>
      <c r="W35" s="60"/>
      <c r="X35" s="60"/>
      <c r="Y35" s="14" t="s">
        <v>171</v>
      </c>
      <c r="Z35" s="4" t="s">
        <v>300</v>
      </c>
      <c r="AA35" s="60"/>
      <c r="AB35" s="60"/>
      <c r="AC35" s="60"/>
      <c r="AD35" s="60"/>
      <c r="AE35" s="60"/>
      <c r="AF35" s="60"/>
      <c r="AG35" s="60"/>
      <c r="AH35" s="60"/>
      <c r="AI35" s="60"/>
      <c r="AJ35" s="14" t="s">
        <v>198</v>
      </c>
      <c r="AK35" s="55" t="s">
        <v>302</v>
      </c>
      <c r="AL35" s="60"/>
      <c r="AM35" s="60"/>
      <c r="AN35" s="60"/>
      <c r="AO35" s="60"/>
      <c r="AP35" s="60"/>
      <c r="AQ35" s="60"/>
      <c r="AR35" s="60"/>
      <c r="AS35" s="60"/>
      <c r="AT35" s="60"/>
    </row>
    <row r="36" spans="2:46" x14ac:dyDescent="0.25">
      <c r="B36" s="14" t="s">
        <v>183</v>
      </c>
      <c r="C36" s="49" t="s">
        <v>302</v>
      </c>
      <c r="N36" s="14" t="s">
        <v>340</v>
      </c>
      <c r="O36" s="4" t="s">
        <v>300</v>
      </c>
      <c r="P36" s="60"/>
      <c r="Q36" s="60"/>
      <c r="R36" s="60"/>
      <c r="S36" s="60"/>
      <c r="T36" s="60"/>
      <c r="U36" s="60"/>
      <c r="V36" s="60"/>
      <c r="W36" s="60"/>
      <c r="X36" s="60"/>
      <c r="Y36" s="14" t="s">
        <v>178</v>
      </c>
      <c r="Z36" s="55" t="s">
        <v>302</v>
      </c>
      <c r="AA36" s="60"/>
      <c r="AB36" s="60"/>
      <c r="AC36" s="60"/>
      <c r="AD36" s="60"/>
      <c r="AE36" s="60"/>
      <c r="AF36" s="60"/>
      <c r="AG36" s="60"/>
      <c r="AH36" s="60"/>
      <c r="AI36" s="60"/>
      <c r="AJ36" s="14" t="s">
        <v>199</v>
      </c>
      <c r="AK36" s="55" t="s">
        <v>302</v>
      </c>
      <c r="AL36" s="60"/>
      <c r="AM36" s="60"/>
      <c r="AN36" s="60"/>
      <c r="AO36" s="60"/>
      <c r="AP36" s="60"/>
      <c r="AQ36" s="60"/>
      <c r="AR36" s="60"/>
      <c r="AS36" s="60"/>
      <c r="AT36" s="60"/>
    </row>
    <row r="37" spans="2:46" x14ac:dyDescent="0.25">
      <c r="B37" s="14" t="s">
        <v>184</v>
      </c>
      <c r="C37" s="49" t="s">
        <v>302</v>
      </c>
      <c r="N37" s="14" t="s">
        <v>168</v>
      </c>
      <c r="O37" s="4" t="s">
        <v>300</v>
      </c>
      <c r="P37" s="60"/>
      <c r="Q37" s="60"/>
      <c r="R37" s="60"/>
      <c r="S37" s="60"/>
      <c r="T37" s="60"/>
      <c r="U37" s="60"/>
      <c r="V37" s="60"/>
      <c r="W37" s="60"/>
      <c r="X37" s="60"/>
      <c r="Y37" s="14" t="s">
        <v>179</v>
      </c>
      <c r="Z37" s="55" t="s">
        <v>302</v>
      </c>
      <c r="AA37" s="60"/>
      <c r="AB37" s="60"/>
      <c r="AC37" s="60"/>
      <c r="AD37" s="60"/>
      <c r="AE37" s="60"/>
      <c r="AF37" s="60"/>
      <c r="AG37" s="60"/>
      <c r="AH37" s="60"/>
      <c r="AI37" s="60"/>
      <c r="AJ37" s="14" t="s">
        <v>201</v>
      </c>
      <c r="AK37" s="55" t="s">
        <v>302</v>
      </c>
      <c r="AL37" s="60"/>
      <c r="AM37" s="60"/>
      <c r="AN37" s="60"/>
      <c r="AO37" s="60"/>
      <c r="AP37" s="60"/>
      <c r="AQ37" s="60"/>
      <c r="AR37" s="60"/>
      <c r="AS37" s="60"/>
      <c r="AT37" s="60"/>
    </row>
    <row r="38" spans="2:46" x14ac:dyDescent="0.25">
      <c r="B38" s="14" t="s">
        <v>185</v>
      </c>
      <c r="C38" s="49" t="s">
        <v>302</v>
      </c>
      <c r="N38" s="14" t="s">
        <v>187</v>
      </c>
      <c r="O38" s="55" t="s">
        <v>302</v>
      </c>
      <c r="P38" s="60"/>
      <c r="Q38" s="60"/>
      <c r="R38" s="60"/>
      <c r="S38" s="60"/>
      <c r="T38" s="60"/>
      <c r="U38" s="60"/>
      <c r="V38" s="60"/>
      <c r="W38" s="60"/>
      <c r="X38" s="60"/>
      <c r="Y38" s="14" t="s">
        <v>180</v>
      </c>
      <c r="Z38" s="55" t="s">
        <v>302</v>
      </c>
      <c r="AA38" s="60"/>
      <c r="AB38" s="60"/>
      <c r="AC38" s="60"/>
      <c r="AD38" s="60"/>
      <c r="AE38" s="60"/>
      <c r="AF38" s="60"/>
      <c r="AG38" s="60"/>
      <c r="AH38" s="60"/>
      <c r="AI38" s="60"/>
      <c r="AJ38" s="14" t="s">
        <v>202</v>
      </c>
      <c r="AK38" s="55" t="s">
        <v>302</v>
      </c>
      <c r="AL38" s="60"/>
      <c r="AM38" s="60"/>
      <c r="AN38" s="60"/>
      <c r="AO38" s="60"/>
      <c r="AP38" s="60"/>
      <c r="AQ38" s="60"/>
      <c r="AR38" s="60"/>
      <c r="AS38" s="60"/>
      <c r="AT38" s="60"/>
    </row>
    <row r="39" spans="2:46" x14ac:dyDescent="0.25">
      <c r="B39" s="14" t="s">
        <v>186</v>
      </c>
      <c r="C39" s="49" t="s">
        <v>302</v>
      </c>
      <c r="N39" s="14" t="s">
        <v>189</v>
      </c>
      <c r="O39" s="55" t="s">
        <v>302</v>
      </c>
      <c r="P39" s="60"/>
      <c r="Q39" s="60"/>
      <c r="R39" s="60"/>
      <c r="S39" s="60"/>
      <c r="T39" s="60"/>
      <c r="U39" s="60"/>
      <c r="V39" s="60"/>
      <c r="W39" s="60"/>
      <c r="X39" s="60"/>
      <c r="Y39" s="14" t="s">
        <v>181</v>
      </c>
      <c r="Z39" s="55" t="s">
        <v>302</v>
      </c>
      <c r="AA39" s="60"/>
      <c r="AB39" s="60"/>
      <c r="AC39" s="60"/>
      <c r="AD39" s="60"/>
      <c r="AE39" s="60"/>
      <c r="AF39" s="60"/>
      <c r="AG39" s="60"/>
      <c r="AH39" s="60"/>
      <c r="AI39" s="60"/>
      <c r="AJ39" s="14" t="s">
        <v>203</v>
      </c>
      <c r="AK39" s="55" t="s">
        <v>302</v>
      </c>
      <c r="AL39" s="60"/>
      <c r="AM39" s="60"/>
      <c r="AN39" s="60"/>
      <c r="AO39" s="60"/>
      <c r="AP39" s="60"/>
      <c r="AQ39" s="60"/>
      <c r="AR39" s="60"/>
      <c r="AS39" s="60"/>
      <c r="AT39" s="60"/>
    </row>
    <row r="40" spans="2:46" x14ac:dyDescent="0.25">
      <c r="B40" s="14" t="s">
        <v>205</v>
      </c>
      <c r="C40" s="49" t="s">
        <v>302</v>
      </c>
      <c r="N40" s="14" t="s">
        <v>188</v>
      </c>
      <c r="O40" s="55" t="s">
        <v>302</v>
      </c>
      <c r="P40" s="60"/>
      <c r="Q40" s="60"/>
      <c r="R40" s="60"/>
      <c r="S40" s="60"/>
      <c r="T40" s="60"/>
      <c r="U40" s="60"/>
      <c r="V40" s="60"/>
      <c r="W40" s="60"/>
      <c r="X40" s="60"/>
      <c r="Y40" s="14" t="s">
        <v>194</v>
      </c>
      <c r="Z40" s="55" t="s">
        <v>302</v>
      </c>
      <c r="AA40" s="60"/>
      <c r="AB40" s="60"/>
      <c r="AC40" s="60"/>
      <c r="AD40" s="60"/>
      <c r="AE40" s="60"/>
      <c r="AF40" s="60"/>
      <c r="AG40" s="60"/>
      <c r="AH40" s="60"/>
      <c r="AI40" s="60"/>
      <c r="AJ40" s="14" t="s">
        <v>376</v>
      </c>
      <c r="AK40" s="55" t="s">
        <v>302</v>
      </c>
      <c r="AL40" s="60"/>
      <c r="AM40" s="60"/>
      <c r="AN40" s="60"/>
      <c r="AO40" s="60"/>
      <c r="AP40" s="60"/>
      <c r="AQ40" s="60"/>
      <c r="AR40" s="60"/>
      <c r="AS40" s="60"/>
      <c r="AT40" s="60"/>
    </row>
    <row r="41" spans="2:46" x14ac:dyDescent="0.25">
      <c r="B41" s="14" t="s">
        <v>206</v>
      </c>
      <c r="C41" s="49" t="s">
        <v>302</v>
      </c>
      <c r="N41" s="14" t="s">
        <v>190</v>
      </c>
      <c r="O41" s="55" t="s">
        <v>302</v>
      </c>
      <c r="P41" s="60"/>
      <c r="Q41" s="60"/>
      <c r="R41" s="60"/>
      <c r="S41" s="60"/>
      <c r="T41" s="60"/>
      <c r="U41" s="60"/>
      <c r="V41" s="60"/>
      <c r="W41" s="60"/>
      <c r="X41" s="60"/>
      <c r="Y41" s="14" t="s">
        <v>197</v>
      </c>
      <c r="Z41" s="55" t="s">
        <v>302</v>
      </c>
      <c r="AA41" s="60"/>
      <c r="AB41" s="60"/>
      <c r="AC41" s="60"/>
      <c r="AD41" s="60"/>
      <c r="AE41" s="60"/>
      <c r="AF41" s="60"/>
      <c r="AG41" s="60"/>
      <c r="AH41" s="60"/>
      <c r="AI41" s="60"/>
      <c r="AJ41" s="14" t="s">
        <v>200</v>
      </c>
      <c r="AK41" s="55" t="s">
        <v>302</v>
      </c>
      <c r="AL41" s="60"/>
      <c r="AM41" s="60"/>
      <c r="AN41" s="60"/>
      <c r="AO41" s="60"/>
      <c r="AP41" s="60"/>
      <c r="AQ41" s="60"/>
      <c r="AR41" s="60"/>
      <c r="AS41" s="60"/>
      <c r="AT41" s="60"/>
    </row>
    <row r="42" spans="2:46" x14ac:dyDescent="0.25">
      <c r="B42" s="14" t="s">
        <v>206</v>
      </c>
      <c r="C42" s="49" t="s">
        <v>302</v>
      </c>
      <c r="N42" s="14" t="s">
        <v>191</v>
      </c>
      <c r="O42" s="55" t="s">
        <v>302</v>
      </c>
      <c r="P42" s="60"/>
      <c r="Q42" s="60"/>
      <c r="R42" s="60"/>
      <c r="S42" s="60"/>
      <c r="T42" s="60"/>
      <c r="U42" s="60"/>
      <c r="V42" s="60"/>
      <c r="W42" s="60"/>
      <c r="X42" s="60"/>
      <c r="Y42" s="14" t="s">
        <v>196</v>
      </c>
      <c r="Z42" s="55" t="s">
        <v>302</v>
      </c>
      <c r="AA42" s="60"/>
      <c r="AB42" s="60"/>
      <c r="AC42" s="60"/>
      <c r="AD42" s="60"/>
      <c r="AE42" s="60"/>
      <c r="AF42" s="60"/>
      <c r="AG42" s="60"/>
      <c r="AH42" s="60"/>
      <c r="AI42" s="60"/>
      <c r="AJ42" s="14" t="s">
        <v>213</v>
      </c>
      <c r="AK42" s="57" t="s">
        <v>15</v>
      </c>
      <c r="AL42" s="60"/>
      <c r="AM42" s="60"/>
      <c r="AN42" s="60"/>
      <c r="AO42" s="60"/>
      <c r="AP42" s="60"/>
      <c r="AQ42" s="60"/>
      <c r="AR42" s="60"/>
      <c r="AS42" s="60"/>
      <c r="AT42" s="60"/>
    </row>
    <row r="43" spans="2:46" x14ac:dyDescent="0.25">
      <c r="B43" s="14" t="s">
        <v>310</v>
      </c>
      <c r="C43" s="50" t="s">
        <v>15</v>
      </c>
      <c r="N43" s="14" t="s">
        <v>192</v>
      </c>
      <c r="O43" s="55" t="s">
        <v>302</v>
      </c>
      <c r="P43" s="60"/>
      <c r="Q43" s="60"/>
      <c r="R43" s="60"/>
      <c r="S43" s="60"/>
      <c r="T43" s="60"/>
      <c r="U43" s="60"/>
      <c r="V43" s="60"/>
      <c r="W43" s="60"/>
      <c r="X43" s="60"/>
      <c r="Y43" s="14" t="s">
        <v>195</v>
      </c>
      <c r="Z43" s="55" t="s">
        <v>302</v>
      </c>
      <c r="AA43" s="60"/>
      <c r="AB43" s="60"/>
      <c r="AC43" s="60"/>
      <c r="AD43" s="60"/>
      <c r="AE43" s="60"/>
      <c r="AF43" s="60"/>
      <c r="AG43" s="60"/>
      <c r="AH43" s="60"/>
      <c r="AI43" s="60"/>
      <c r="AJ43" s="14" t="s">
        <v>212</v>
      </c>
      <c r="AK43" s="57" t="s">
        <v>15</v>
      </c>
      <c r="AL43" s="60"/>
      <c r="AM43" s="60"/>
      <c r="AN43" s="60"/>
      <c r="AO43" s="60"/>
      <c r="AP43" s="60"/>
      <c r="AQ43" s="60"/>
      <c r="AR43" s="60"/>
      <c r="AS43" s="60"/>
      <c r="AT43" s="60"/>
    </row>
    <row r="44" spans="2:46" x14ac:dyDescent="0.25">
      <c r="B44" s="14" t="s">
        <v>311</v>
      </c>
      <c r="C44" s="50" t="s">
        <v>15</v>
      </c>
      <c r="N44" s="14" t="s">
        <v>193</v>
      </c>
      <c r="O44" s="55" t="s">
        <v>302</v>
      </c>
      <c r="P44" s="60"/>
      <c r="Q44" s="60"/>
      <c r="R44" s="60"/>
      <c r="S44" s="60"/>
      <c r="T44" s="60"/>
      <c r="U44" s="60"/>
      <c r="V44" s="60"/>
      <c r="W44" s="60"/>
      <c r="X44" s="60"/>
      <c r="Y44" s="14" t="s">
        <v>214</v>
      </c>
      <c r="Z44" s="57" t="s">
        <v>15</v>
      </c>
      <c r="AA44" s="60"/>
      <c r="AB44" s="60"/>
      <c r="AC44" s="60"/>
      <c r="AD44" s="60"/>
      <c r="AE44" s="60"/>
      <c r="AF44" s="60"/>
      <c r="AG44" s="60"/>
      <c r="AH44" s="60"/>
      <c r="AI44" s="60"/>
      <c r="AJ44" s="14" t="s">
        <v>221</v>
      </c>
      <c r="AK44" s="57" t="s">
        <v>15</v>
      </c>
      <c r="AL44" s="60"/>
      <c r="AM44" s="60"/>
      <c r="AN44" s="60"/>
      <c r="AO44" s="60"/>
      <c r="AP44" s="60"/>
      <c r="AQ44" s="60"/>
      <c r="AR44" s="60"/>
      <c r="AS44" s="60"/>
      <c r="AT44" s="60"/>
    </row>
    <row r="45" spans="2:46" x14ac:dyDescent="0.25">
      <c r="B45" s="14" t="s">
        <v>312</v>
      </c>
      <c r="C45" s="50" t="s">
        <v>15</v>
      </c>
      <c r="N45" s="14" t="s">
        <v>207</v>
      </c>
      <c r="O45" s="55" t="s">
        <v>302</v>
      </c>
      <c r="P45" s="60"/>
      <c r="Q45" s="60"/>
      <c r="R45" s="60"/>
      <c r="S45" s="60"/>
      <c r="T45" s="60"/>
      <c r="U45" s="60"/>
      <c r="V45" s="60"/>
      <c r="W45" s="60"/>
      <c r="X45" s="60"/>
      <c r="Y45" s="14" t="s">
        <v>357</v>
      </c>
      <c r="Z45" s="57" t="s">
        <v>15</v>
      </c>
      <c r="AA45" s="60"/>
      <c r="AB45" s="60"/>
      <c r="AC45" s="60"/>
      <c r="AD45" s="60"/>
      <c r="AE45" s="60"/>
      <c r="AF45" s="60"/>
      <c r="AG45" s="60"/>
      <c r="AH45" s="60"/>
      <c r="AI45" s="60"/>
      <c r="AJ45" s="14" t="s">
        <v>222</v>
      </c>
      <c r="AK45" s="57" t="s">
        <v>15</v>
      </c>
      <c r="AL45" s="60"/>
      <c r="AM45" s="60"/>
      <c r="AN45" s="60"/>
      <c r="AO45" s="60"/>
      <c r="AP45" s="60"/>
      <c r="AQ45" s="60"/>
      <c r="AR45" s="60"/>
      <c r="AS45" s="60"/>
      <c r="AT45" s="60"/>
    </row>
    <row r="46" spans="2:46" x14ac:dyDescent="0.25">
      <c r="B46" s="14" t="s">
        <v>231</v>
      </c>
      <c r="C46" s="50" t="s">
        <v>15</v>
      </c>
      <c r="N46" s="14" t="s">
        <v>209</v>
      </c>
      <c r="O46" s="57" t="s">
        <v>15</v>
      </c>
      <c r="P46" s="60"/>
      <c r="Q46" s="60"/>
      <c r="R46" s="60"/>
      <c r="S46" s="60"/>
      <c r="T46" s="60"/>
      <c r="U46" s="60"/>
      <c r="V46" s="60"/>
      <c r="W46" s="60"/>
      <c r="X46" s="60"/>
      <c r="Y46" s="14" t="s">
        <v>216</v>
      </c>
      <c r="Z46" s="57" t="s">
        <v>15</v>
      </c>
      <c r="AA46" s="60"/>
      <c r="AB46" s="60"/>
      <c r="AC46" s="60"/>
      <c r="AD46" s="60"/>
      <c r="AE46" s="60"/>
      <c r="AF46" s="60"/>
      <c r="AG46" s="60"/>
      <c r="AH46" s="60"/>
      <c r="AI46" s="60"/>
      <c r="AJ46" s="14" t="s">
        <v>223</v>
      </c>
      <c r="AK46" s="57" t="s">
        <v>15</v>
      </c>
      <c r="AL46" s="60"/>
      <c r="AM46" s="60"/>
      <c r="AN46" s="60"/>
      <c r="AO46" s="60"/>
      <c r="AP46" s="60"/>
      <c r="AQ46" s="60"/>
      <c r="AR46" s="60"/>
      <c r="AS46" s="60"/>
      <c r="AT46" s="60"/>
    </row>
    <row r="47" spans="2:46" x14ac:dyDescent="0.25">
      <c r="B47" s="14" t="s">
        <v>232</v>
      </c>
      <c r="C47" s="50" t="s">
        <v>15</v>
      </c>
      <c r="N47" s="14" t="s">
        <v>210</v>
      </c>
      <c r="O47" s="57" t="s">
        <v>15</v>
      </c>
      <c r="P47" s="60"/>
      <c r="Q47" s="60"/>
      <c r="R47" s="60"/>
      <c r="S47" s="60"/>
      <c r="T47" s="60"/>
      <c r="U47" s="60"/>
      <c r="V47" s="60"/>
      <c r="W47" s="60"/>
      <c r="X47" s="60"/>
      <c r="Y47" s="14" t="s">
        <v>227</v>
      </c>
      <c r="Z47" s="57" t="s">
        <v>15</v>
      </c>
      <c r="AA47" s="60"/>
      <c r="AB47" s="60"/>
      <c r="AC47" s="60"/>
      <c r="AD47" s="60"/>
      <c r="AE47" s="60"/>
      <c r="AF47" s="60"/>
      <c r="AG47" s="60"/>
      <c r="AH47" s="60"/>
      <c r="AI47" s="60"/>
      <c r="AJ47" s="14" t="s">
        <v>228</v>
      </c>
      <c r="AK47" s="57" t="s">
        <v>15</v>
      </c>
      <c r="AL47" s="60"/>
      <c r="AM47" s="60"/>
      <c r="AN47" s="60"/>
      <c r="AO47" s="60"/>
      <c r="AP47" s="60"/>
      <c r="AQ47" s="60"/>
      <c r="AR47" s="60"/>
      <c r="AS47" s="60"/>
      <c r="AT47" s="60"/>
    </row>
    <row r="48" spans="2:46" x14ac:dyDescent="0.25">
      <c r="B48" s="14" t="s">
        <v>217</v>
      </c>
      <c r="C48" s="50" t="s">
        <v>15</v>
      </c>
      <c r="N48" s="14" t="s">
        <v>211</v>
      </c>
      <c r="O48" s="57" t="s">
        <v>15</v>
      </c>
      <c r="P48" s="60"/>
      <c r="Q48" s="60"/>
      <c r="R48" s="60"/>
      <c r="S48" s="60"/>
      <c r="T48" s="60"/>
      <c r="U48" s="60"/>
      <c r="V48" s="60"/>
      <c r="W48" s="60"/>
      <c r="X48" s="60"/>
      <c r="Y48" s="14" t="s">
        <v>313</v>
      </c>
      <c r="Z48" s="57" t="s">
        <v>15</v>
      </c>
      <c r="AA48" s="60"/>
      <c r="AB48" s="60"/>
      <c r="AC48" s="60"/>
      <c r="AD48" s="60"/>
      <c r="AE48" s="60"/>
      <c r="AF48" s="60"/>
      <c r="AG48" s="60"/>
      <c r="AH48" s="60"/>
      <c r="AI48" s="60"/>
      <c r="AJ48" s="14" t="s">
        <v>229</v>
      </c>
      <c r="AK48" s="57" t="s">
        <v>15</v>
      </c>
      <c r="AL48" s="60"/>
      <c r="AM48" s="60"/>
      <c r="AN48" s="60"/>
      <c r="AO48" s="60"/>
      <c r="AP48" s="60"/>
      <c r="AQ48" s="60"/>
      <c r="AR48" s="60"/>
      <c r="AS48" s="60"/>
      <c r="AT48" s="60"/>
    </row>
    <row r="49" spans="2:46" x14ac:dyDescent="0.25">
      <c r="B49" s="14" t="s">
        <v>218</v>
      </c>
      <c r="C49" s="50" t="s">
        <v>15</v>
      </c>
      <c r="N49" s="14" t="s">
        <v>55</v>
      </c>
      <c r="O49" s="57" t="s">
        <v>15</v>
      </c>
      <c r="P49" s="60"/>
      <c r="Q49" s="60"/>
      <c r="R49" s="60"/>
      <c r="S49" s="60"/>
      <c r="T49" s="60"/>
      <c r="U49" s="60"/>
      <c r="V49" s="60"/>
      <c r="W49" s="60"/>
      <c r="X49" s="60"/>
      <c r="Y49" s="14" t="s">
        <v>314</v>
      </c>
      <c r="Z49" s="57" t="s">
        <v>15</v>
      </c>
      <c r="AA49" s="60"/>
      <c r="AB49" s="60"/>
      <c r="AC49" s="60"/>
      <c r="AD49" s="60"/>
      <c r="AE49" s="60"/>
      <c r="AF49" s="60"/>
      <c r="AG49" s="60"/>
      <c r="AH49" s="60"/>
      <c r="AI49" s="60"/>
      <c r="AJ49" s="14" t="s">
        <v>230</v>
      </c>
      <c r="AK49" s="57" t="s">
        <v>15</v>
      </c>
      <c r="AL49" s="60"/>
      <c r="AM49" s="60"/>
      <c r="AN49" s="60"/>
      <c r="AO49" s="60"/>
      <c r="AP49" s="60"/>
      <c r="AQ49" s="60"/>
      <c r="AR49" s="60"/>
      <c r="AS49" s="60"/>
      <c r="AT49" s="60"/>
    </row>
    <row r="50" spans="2:46" x14ac:dyDescent="0.25">
      <c r="B50" s="14" t="s">
        <v>249</v>
      </c>
      <c r="C50" s="51" t="s">
        <v>299</v>
      </c>
      <c r="N50" s="14" t="s">
        <v>234</v>
      </c>
      <c r="O50" s="57" t="s">
        <v>15</v>
      </c>
      <c r="P50" s="60"/>
      <c r="Q50" s="60"/>
      <c r="R50" s="60"/>
      <c r="S50" s="60"/>
      <c r="T50" s="60"/>
      <c r="U50" s="60"/>
      <c r="V50" s="60"/>
      <c r="W50" s="60"/>
      <c r="X50" s="60"/>
      <c r="Y50" s="14" t="s">
        <v>358</v>
      </c>
      <c r="Z50" s="57" t="s">
        <v>15</v>
      </c>
      <c r="AA50" s="60"/>
      <c r="AB50" s="60"/>
      <c r="AC50" s="60"/>
      <c r="AD50" s="60"/>
      <c r="AE50" s="60"/>
      <c r="AF50" s="60"/>
      <c r="AG50" s="60"/>
      <c r="AH50" s="60"/>
      <c r="AI50" s="60"/>
      <c r="AJ50" s="14" t="s">
        <v>224</v>
      </c>
      <c r="AK50" s="57" t="s">
        <v>15</v>
      </c>
      <c r="AL50" s="60"/>
      <c r="AM50" s="60"/>
      <c r="AN50" s="60"/>
      <c r="AO50" s="60"/>
      <c r="AP50" s="60"/>
      <c r="AQ50" s="60"/>
      <c r="AR50" s="60"/>
      <c r="AS50" s="60"/>
      <c r="AT50" s="60"/>
    </row>
    <row r="51" spans="2:46" x14ac:dyDescent="0.25">
      <c r="B51" s="14" t="s">
        <v>250</v>
      </c>
      <c r="C51" s="51" t="s">
        <v>299</v>
      </c>
      <c r="N51" s="14" t="s">
        <v>233</v>
      </c>
      <c r="O51" s="57" t="s">
        <v>15</v>
      </c>
      <c r="P51" s="60"/>
      <c r="Q51" s="60"/>
      <c r="R51" s="60"/>
      <c r="S51" s="60"/>
      <c r="T51" s="60"/>
      <c r="U51" s="60"/>
      <c r="V51" s="60"/>
      <c r="W51" s="60"/>
      <c r="X51" s="60"/>
      <c r="Y51" s="14" t="s">
        <v>259</v>
      </c>
      <c r="Z51" s="59" t="s">
        <v>299</v>
      </c>
      <c r="AA51" s="60"/>
      <c r="AB51" s="60"/>
      <c r="AC51" s="60"/>
      <c r="AD51" s="60"/>
      <c r="AE51" s="60"/>
      <c r="AF51" s="60"/>
      <c r="AG51" s="60"/>
      <c r="AH51" s="60"/>
      <c r="AI51" s="60"/>
      <c r="AJ51" s="14" t="s">
        <v>257</v>
      </c>
      <c r="AK51" s="59" t="s">
        <v>299</v>
      </c>
      <c r="AL51" s="60"/>
      <c r="AM51" s="60"/>
      <c r="AN51" s="60"/>
      <c r="AO51" s="60"/>
      <c r="AP51" s="60"/>
      <c r="AQ51" s="60"/>
      <c r="AR51" s="60"/>
      <c r="AS51" s="60"/>
      <c r="AT51" s="60"/>
    </row>
    <row r="52" spans="2:46" x14ac:dyDescent="0.25">
      <c r="B52" s="14" t="s">
        <v>251</v>
      </c>
      <c r="C52" s="51" t="s">
        <v>299</v>
      </c>
      <c r="N52" s="14" t="s">
        <v>219</v>
      </c>
      <c r="O52" s="57" t="s">
        <v>15</v>
      </c>
      <c r="P52" s="60"/>
      <c r="Q52" s="60"/>
      <c r="R52" s="60"/>
      <c r="S52" s="60"/>
      <c r="T52" s="60"/>
      <c r="U52" s="60"/>
      <c r="V52" s="60"/>
      <c r="W52" s="60"/>
      <c r="X52" s="60"/>
      <c r="Y52" s="14" t="s">
        <v>260</v>
      </c>
      <c r="Z52" s="59" t="s">
        <v>299</v>
      </c>
      <c r="AA52" s="60"/>
      <c r="AB52" s="60"/>
      <c r="AC52" s="60"/>
      <c r="AD52" s="60"/>
      <c r="AE52" s="60"/>
      <c r="AF52" s="60"/>
      <c r="AG52" s="60"/>
      <c r="AH52" s="60"/>
      <c r="AI52" s="60"/>
      <c r="AJ52" s="14" t="s">
        <v>258</v>
      </c>
      <c r="AK52" s="59" t="s">
        <v>299</v>
      </c>
      <c r="AL52" s="60"/>
      <c r="AM52" s="60"/>
      <c r="AN52" s="60"/>
      <c r="AO52" s="60"/>
      <c r="AP52" s="60"/>
      <c r="AQ52" s="60"/>
      <c r="AR52" s="60"/>
      <c r="AS52" s="60"/>
      <c r="AT52" s="60"/>
    </row>
    <row r="53" spans="2:46" x14ac:dyDescent="0.25">
      <c r="B53" s="14" t="s">
        <v>252</v>
      </c>
      <c r="C53" s="51" t="s">
        <v>299</v>
      </c>
      <c r="N53" s="14" t="s">
        <v>220</v>
      </c>
      <c r="O53" s="57" t="s">
        <v>15</v>
      </c>
      <c r="P53" s="60"/>
      <c r="Q53" s="60"/>
      <c r="R53" s="60"/>
      <c r="S53" s="60"/>
      <c r="T53" s="60"/>
      <c r="U53" s="60"/>
      <c r="V53" s="60"/>
      <c r="W53" s="60"/>
      <c r="X53" s="60"/>
      <c r="Y53" s="14" t="s">
        <v>261</v>
      </c>
      <c r="Z53" s="59" t="s">
        <v>299</v>
      </c>
      <c r="AA53" s="60"/>
      <c r="AB53" s="60"/>
      <c r="AC53" s="60"/>
      <c r="AD53" s="60"/>
      <c r="AE53" s="60"/>
      <c r="AF53" s="60"/>
      <c r="AG53" s="60"/>
      <c r="AH53" s="60"/>
      <c r="AI53" s="60"/>
      <c r="AJ53" s="14" t="s">
        <v>272</v>
      </c>
      <c r="AK53" s="59" t="s">
        <v>299</v>
      </c>
      <c r="AL53" s="60"/>
      <c r="AM53" s="60"/>
      <c r="AN53" s="60"/>
      <c r="AO53" s="60"/>
      <c r="AP53" s="60"/>
      <c r="AQ53" s="60"/>
      <c r="AR53" s="60"/>
      <c r="AS53" s="60"/>
      <c r="AT53" s="60"/>
    </row>
    <row r="54" spans="2:46" x14ac:dyDescent="0.25">
      <c r="B54" s="14" t="s">
        <v>253</v>
      </c>
      <c r="C54" s="51" t="s">
        <v>299</v>
      </c>
      <c r="N54" s="14" t="s">
        <v>267</v>
      </c>
      <c r="O54" s="59" t="s">
        <v>299</v>
      </c>
      <c r="P54" s="60"/>
      <c r="Q54" s="60"/>
      <c r="R54" s="60"/>
      <c r="S54" s="60"/>
      <c r="T54" s="60"/>
      <c r="U54" s="60"/>
      <c r="V54" s="60"/>
      <c r="W54" s="60"/>
      <c r="X54" s="60"/>
      <c r="Y54" s="14" t="s">
        <v>274</v>
      </c>
      <c r="Z54" s="59" t="s">
        <v>299</v>
      </c>
      <c r="AA54" s="60"/>
      <c r="AB54" s="60"/>
      <c r="AC54" s="60"/>
      <c r="AD54" s="60"/>
      <c r="AE54" s="60"/>
      <c r="AF54" s="60"/>
      <c r="AG54" s="60"/>
      <c r="AH54" s="60"/>
      <c r="AI54" s="60"/>
      <c r="AJ54" s="14" t="s">
        <v>273</v>
      </c>
      <c r="AK54" s="59" t="s">
        <v>299</v>
      </c>
      <c r="AL54" s="60"/>
      <c r="AM54" s="60"/>
      <c r="AN54" s="60"/>
      <c r="AO54" s="60"/>
      <c r="AP54" s="60"/>
      <c r="AQ54" s="60"/>
      <c r="AR54" s="60"/>
      <c r="AS54" s="60"/>
      <c r="AT54" s="60"/>
    </row>
    <row r="55" spans="2:46" x14ac:dyDescent="0.25">
      <c r="B55" s="14" t="s">
        <v>254</v>
      </c>
      <c r="C55" s="51" t="s">
        <v>299</v>
      </c>
      <c r="N55" s="14" t="s">
        <v>268</v>
      </c>
      <c r="O55" s="59" t="s">
        <v>299</v>
      </c>
      <c r="P55" s="60"/>
      <c r="Q55" s="60"/>
      <c r="R55" s="60"/>
      <c r="S55" s="60"/>
      <c r="T55" s="60"/>
      <c r="U55" s="60"/>
      <c r="V55" s="60"/>
      <c r="W55" s="60"/>
      <c r="X55" s="60"/>
      <c r="Y55" s="14" t="s">
        <v>275</v>
      </c>
      <c r="Z55" s="59" t="s">
        <v>299</v>
      </c>
      <c r="AA55" s="60"/>
      <c r="AB55" s="60"/>
      <c r="AC55" s="60"/>
      <c r="AD55" s="60"/>
      <c r="AE55" s="60"/>
      <c r="AF55" s="60"/>
      <c r="AG55" s="60"/>
      <c r="AH55" s="60"/>
      <c r="AI55" s="60"/>
      <c r="AJ55" s="14" t="s">
        <v>271</v>
      </c>
      <c r="AK55" s="59" t="s">
        <v>299</v>
      </c>
      <c r="AL55" s="60"/>
      <c r="AM55" s="60"/>
      <c r="AN55" s="60"/>
      <c r="AO55" s="60"/>
      <c r="AP55" s="60"/>
      <c r="AQ55" s="60"/>
      <c r="AR55" s="60"/>
      <c r="AS55" s="60"/>
      <c r="AT55" s="60"/>
    </row>
    <row r="56" spans="2:46" x14ac:dyDescent="0.25">
      <c r="B56" s="14" t="s">
        <v>255</v>
      </c>
      <c r="C56" s="51" t="s">
        <v>299</v>
      </c>
      <c r="N56" s="14" t="s">
        <v>269</v>
      </c>
      <c r="O56" s="59" t="s">
        <v>299</v>
      </c>
      <c r="P56" s="60"/>
      <c r="Q56" s="60"/>
      <c r="R56" s="60"/>
      <c r="S56" s="60"/>
      <c r="T56" s="60"/>
      <c r="U56" s="60"/>
      <c r="V56" s="60"/>
      <c r="W56" s="60"/>
      <c r="X56" s="60"/>
      <c r="Y56" s="14" t="s">
        <v>276</v>
      </c>
      <c r="Z56" s="59" t="s">
        <v>299</v>
      </c>
      <c r="AA56" s="60"/>
      <c r="AB56" s="60"/>
      <c r="AC56" s="60"/>
      <c r="AD56" s="60"/>
      <c r="AE56" s="60"/>
      <c r="AF56" s="60"/>
      <c r="AG56" s="60"/>
      <c r="AH56" s="60"/>
      <c r="AI56" s="60"/>
      <c r="AJ56" s="14" t="s">
        <v>270</v>
      </c>
      <c r="AK56" s="59" t="s">
        <v>299</v>
      </c>
      <c r="AL56" s="60"/>
      <c r="AM56" s="60"/>
      <c r="AN56" s="60"/>
      <c r="AO56" s="60"/>
      <c r="AP56" s="60"/>
      <c r="AQ56" s="60"/>
      <c r="AR56" s="60"/>
      <c r="AS56" s="60"/>
      <c r="AT56" s="60"/>
    </row>
    <row r="57" spans="2:46" x14ac:dyDescent="0.25">
      <c r="B57" s="14" t="s">
        <v>326</v>
      </c>
      <c r="C57" s="5" t="s">
        <v>16</v>
      </c>
      <c r="N57" s="14" t="s">
        <v>31</v>
      </c>
      <c r="O57" s="59" t="s">
        <v>299</v>
      </c>
      <c r="Y57" s="14" t="s">
        <v>262</v>
      </c>
      <c r="Z57" s="59" t="s">
        <v>299</v>
      </c>
      <c r="AA57" s="60"/>
      <c r="AB57" s="60"/>
      <c r="AC57" s="60"/>
      <c r="AD57" s="60"/>
      <c r="AE57" s="60"/>
      <c r="AF57" s="60"/>
      <c r="AG57" s="60"/>
      <c r="AH57" s="60"/>
      <c r="AI57" s="60"/>
      <c r="AJ57" s="14" t="s">
        <v>277</v>
      </c>
      <c r="AK57" s="59" t="s">
        <v>299</v>
      </c>
      <c r="AL57" s="60"/>
      <c r="AM57" s="60"/>
      <c r="AN57" s="60"/>
      <c r="AO57" s="60"/>
      <c r="AP57" s="60"/>
      <c r="AQ57" s="60"/>
      <c r="AR57" s="60"/>
      <c r="AS57" s="60"/>
      <c r="AT57" s="60"/>
    </row>
    <row r="58" spans="2:46" x14ac:dyDescent="0.25">
      <c r="B58" s="14" t="s">
        <v>327</v>
      </c>
      <c r="C58" s="5" t="s">
        <v>16</v>
      </c>
      <c r="N58" s="14" t="s">
        <v>256</v>
      </c>
      <c r="O58" s="59" t="s">
        <v>299</v>
      </c>
      <c r="Y58" s="14" t="s">
        <v>359</v>
      </c>
      <c r="Z58" s="59" t="s">
        <v>299</v>
      </c>
      <c r="AA58" s="60"/>
      <c r="AB58" s="60"/>
      <c r="AC58" s="60"/>
      <c r="AD58" s="60"/>
      <c r="AE58" s="60"/>
      <c r="AF58" s="60"/>
      <c r="AG58" s="60"/>
      <c r="AH58" s="60"/>
      <c r="AI58" s="60"/>
      <c r="AJ58" s="14" t="s">
        <v>378</v>
      </c>
      <c r="AK58" s="5" t="s">
        <v>16</v>
      </c>
      <c r="AL58" s="60"/>
      <c r="AM58" s="60"/>
      <c r="AN58" s="60"/>
      <c r="AO58" s="60"/>
      <c r="AP58" s="60"/>
      <c r="AQ58" s="60"/>
      <c r="AR58" s="60"/>
      <c r="AS58" s="60"/>
      <c r="AT58" s="60"/>
    </row>
    <row r="59" spans="2:46" x14ac:dyDescent="0.25">
      <c r="B59" s="14" t="s">
        <v>328</v>
      </c>
      <c r="C59" s="5" t="s">
        <v>16</v>
      </c>
      <c r="N59" s="14" t="s">
        <v>163</v>
      </c>
      <c r="O59" s="59" t="s">
        <v>299</v>
      </c>
      <c r="Y59" s="14" t="s">
        <v>360</v>
      </c>
      <c r="Z59" s="5" t="s">
        <v>16</v>
      </c>
      <c r="AA59" s="60"/>
      <c r="AB59" s="60"/>
      <c r="AC59" s="60"/>
      <c r="AD59" s="60"/>
      <c r="AE59" s="60"/>
      <c r="AF59" s="60"/>
      <c r="AG59" s="60"/>
      <c r="AH59" s="60"/>
      <c r="AI59" s="60"/>
      <c r="AJ59" s="14" t="s">
        <v>379</v>
      </c>
      <c r="AK59" s="5" t="s">
        <v>16</v>
      </c>
      <c r="AL59" s="60"/>
      <c r="AM59" s="60"/>
      <c r="AN59" s="60"/>
      <c r="AO59" s="60"/>
      <c r="AP59" s="60"/>
      <c r="AQ59" s="60"/>
      <c r="AR59" s="60"/>
      <c r="AS59" s="60"/>
      <c r="AT59" s="60"/>
    </row>
    <row r="60" spans="2:46" x14ac:dyDescent="0.25">
      <c r="B60" s="14" t="s">
        <v>329</v>
      </c>
      <c r="C60" s="5" t="s">
        <v>16</v>
      </c>
      <c r="N60" s="14" t="s">
        <v>264</v>
      </c>
      <c r="O60" s="59" t="s">
        <v>299</v>
      </c>
      <c r="Y60" s="14" t="s">
        <v>361</v>
      </c>
      <c r="Z60" s="5" t="s">
        <v>16</v>
      </c>
      <c r="AA60" s="60"/>
      <c r="AB60" s="60"/>
      <c r="AC60" s="60"/>
      <c r="AD60" s="60"/>
      <c r="AE60" s="60"/>
      <c r="AF60" s="60"/>
      <c r="AG60" s="60"/>
      <c r="AH60" s="60"/>
      <c r="AI60" s="60"/>
      <c r="AJ60" s="14" t="s">
        <v>380</v>
      </c>
      <c r="AK60" s="5" t="s">
        <v>16</v>
      </c>
      <c r="AL60" s="60"/>
      <c r="AM60" s="60"/>
      <c r="AN60" s="60"/>
      <c r="AO60" s="60"/>
      <c r="AP60" s="60"/>
      <c r="AQ60" s="60"/>
      <c r="AR60" s="60"/>
      <c r="AS60" s="60"/>
      <c r="AT60" s="60"/>
    </row>
    <row r="61" spans="2:46" x14ac:dyDescent="0.25">
      <c r="B61" s="14" t="s">
        <v>330</v>
      </c>
      <c r="C61" s="5" t="s">
        <v>16</v>
      </c>
      <c r="N61" s="14" t="s">
        <v>341</v>
      </c>
      <c r="O61" s="5" t="s">
        <v>16</v>
      </c>
      <c r="Y61" s="14" t="s">
        <v>362</v>
      </c>
      <c r="Z61" s="5" t="s">
        <v>16</v>
      </c>
      <c r="AA61" s="60"/>
      <c r="AB61" s="60"/>
      <c r="AC61" s="60"/>
      <c r="AD61" s="60"/>
      <c r="AE61" s="60"/>
      <c r="AF61" s="60"/>
      <c r="AG61" s="60"/>
      <c r="AH61" s="60"/>
      <c r="AI61" s="60"/>
      <c r="AJ61" s="14" t="s">
        <v>381</v>
      </c>
      <c r="AK61" s="5" t="s">
        <v>16</v>
      </c>
      <c r="AL61" s="60"/>
      <c r="AM61" s="60"/>
      <c r="AN61" s="60"/>
      <c r="AO61" s="60"/>
      <c r="AP61" s="60"/>
      <c r="AQ61" s="60"/>
      <c r="AR61" s="60"/>
      <c r="AS61" s="60"/>
      <c r="AT61" s="60"/>
    </row>
    <row r="62" spans="2:46" x14ac:dyDescent="0.25">
      <c r="B62" s="14" t="s">
        <v>332</v>
      </c>
      <c r="C62" s="5" t="s">
        <v>16</v>
      </c>
      <c r="N62" s="14" t="s">
        <v>342</v>
      </c>
      <c r="O62" s="5" t="s">
        <v>16</v>
      </c>
      <c r="Y62" s="14" t="s">
        <v>365</v>
      </c>
      <c r="Z62" s="5" t="s">
        <v>16</v>
      </c>
      <c r="AA62" s="60"/>
      <c r="AB62" s="60"/>
      <c r="AC62" s="60"/>
      <c r="AD62" s="60"/>
      <c r="AE62" s="60"/>
      <c r="AF62" s="60"/>
      <c r="AG62" s="60"/>
      <c r="AH62" s="60"/>
      <c r="AI62" s="60"/>
      <c r="AJ62" s="14" t="s">
        <v>382</v>
      </c>
      <c r="AK62" s="5" t="s">
        <v>16</v>
      </c>
      <c r="AL62" s="60"/>
      <c r="AM62" s="60"/>
      <c r="AN62" s="60"/>
      <c r="AO62" s="60"/>
      <c r="AP62" s="60"/>
      <c r="AQ62" s="60"/>
      <c r="AR62" s="60"/>
      <c r="AS62" s="60"/>
      <c r="AT62" s="60"/>
    </row>
    <row r="63" spans="2:46" x14ac:dyDescent="0.25">
      <c r="B63" s="14" t="s">
        <v>331</v>
      </c>
      <c r="C63" s="5" t="s">
        <v>16</v>
      </c>
      <c r="N63" s="14" t="s">
        <v>343</v>
      </c>
      <c r="O63" s="5" t="s">
        <v>16</v>
      </c>
      <c r="Y63" s="14" t="s">
        <v>366</v>
      </c>
      <c r="Z63" s="5" t="s">
        <v>16</v>
      </c>
      <c r="AA63" s="60"/>
      <c r="AB63" s="60"/>
      <c r="AC63" s="60"/>
      <c r="AD63" s="60"/>
      <c r="AE63" s="60"/>
      <c r="AF63" s="60"/>
      <c r="AG63" s="60"/>
      <c r="AH63" s="60"/>
      <c r="AI63" s="60"/>
      <c r="AJ63" s="14" t="s">
        <v>383</v>
      </c>
      <c r="AK63" s="5" t="s">
        <v>16</v>
      </c>
      <c r="AL63" s="60"/>
      <c r="AM63" s="60"/>
      <c r="AN63" s="60"/>
      <c r="AO63" s="60"/>
      <c r="AP63" s="60"/>
      <c r="AQ63" s="60"/>
      <c r="AR63" s="60"/>
      <c r="AS63" s="60"/>
      <c r="AT63" s="60"/>
    </row>
    <row r="64" spans="2:46" x14ac:dyDescent="0.25">
      <c r="B64" s="14" t="s">
        <v>333</v>
      </c>
      <c r="C64" s="5" t="s">
        <v>16</v>
      </c>
      <c r="N64" s="14" t="s">
        <v>344</v>
      </c>
      <c r="O64" s="5" t="s">
        <v>16</v>
      </c>
      <c r="Y64" s="14" t="s">
        <v>363</v>
      </c>
      <c r="Z64" s="5" t="s">
        <v>16</v>
      </c>
      <c r="AA64" s="60"/>
      <c r="AB64" s="60"/>
      <c r="AC64" s="60"/>
      <c r="AD64" s="60"/>
      <c r="AE64" s="60"/>
      <c r="AF64" s="60"/>
      <c r="AG64" s="60"/>
      <c r="AH64" s="60"/>
      <c r="AI64" s="60"/>
      <c r="AJ64" s="14" t="s">
        <v>384</v>
      </c>
      <c r="AK64" s="5" t="s">
        <v>16</v>
      </c>
      <c r="AL64" s="60"/>
      <c r="AM64" s="60"/>
      <c r="AN64" s="60"/>
      <c r="AO64" s="60"/>
      <c r="AP64" s="60"/>
      <c r="AQ64" s="60"/>
      <c r="AR64" s="60"/>
      <c r="AS64" s="60"/>
      <c r="AT64" s="60"/>
    </row>
    <row r="65" spans="2:46" x14ac:dyDescent="0.25">
      <c r="B65" s="14" t="s">
        <v>317</v>
      </c>
      <c r="C65" s="53" t="s">
        <v>58</v>
      </c>
      <c r="N65" s="14" t="s">
        <v>345</v>
      </c>
      <c r="O65" s="5" t="s">
        <v>16</v>
      </c>
      <c r="P65" s="60"/>
      <c r="Q65" s="60"/>
      <c r="R65" s="60"/>
      <c r="S65" s="60"/>
      <c r="T65" s="60"/>
      <c r="U65" s="60"/>
      <c r="V65" s="60"/>
      <c r="W65" s="60"/>
      <c r="X65" s="60"/>
      <c r="Y65" s="14" t="s">
        <v>370</v>
      </c>
      <c r="Z65" s="53" t="s">
        <v>58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14" t="s">
        <v>364</v>
      </c>
      <c r="AK65" s="5" t="s">
        <v>16</v>
      </c>
      <c r="AL65" s="60"/>
      <c r="AM65" s="60"/>
      <c r="AN65" s="60"/>
      <c r="AO65" s="60"/>
      <c r="AP65" s="60"/>
      <c r="AQ65" s="60"/>
      <c r="AR65" s="60"/>
      <c r="AS65" s="60"/>
      <c r="AT65" s="60"/>
    </row>
    <row r="66" spans="2:46" x14ac:dyDescent="0.25">
      <c r="B66" s="14" t="s">
        <v>318</v>
      </c>
      <c r="C66" s="53" t="s">
        <v>58</v>
      </c>
      <c r="N66" s="14" t="s">
        <v>346</v>
      </c>
      <c r="O66" s="5" t="s">
        <v>16</v>
      </c>
      <c r="P66" s="60"/>
      <c r="Q66" s="60"/>
      <c r="R66" s="60"/>
      <c r="S66" s="60"/>
      <c r="T66" s="60"/>
      <c r="U66" s="60"/>
      <c r="V66" s="60"/>
      <c r="W66" s="60"/>
      <c r="X66" s="60"/>
      <c r="Y66" s="14" t="s">
        <v>371</v>
      </c>
      <c r="Z66" s="53" t="s">
        <v>58</v>
      </c>
      <c r="AA66" s="60"/>
      <c r="AB66" s="60"/>
      <c r="AC66" s="60"/>
      <c r="AD66" s="60"/>
      <c r="AE66" s="60"/>
      <c r="AF66" s="60"/>
      <c r="AG66" s="60"/>
      <c r="AH66" s="60"/>
      <c r="AI66" s="60"/>
      <c r="AJ66" s="14" t="s">
        <v>385</v>
      </c>
      <c r="AK66" s="5" t="s">
        <v>16</v>
      </c>
      <c r="AL66" s="60"/>
      <c r="AM66" s="60"/>
      <c r="AN66" s="60"/>
      <c r="AO66" s="60"/>
      <c r="AP66" s="60"/>
      <c r="AQ66" s="60"/>
      <c r="AR66" s="60"/>
      <c r="AS66" s="60"/>
      <c r="AT66" s="60"/>
    </row>
    <row r="67" spans="2:46" x14ac:dyDescent="0.25">
      <c r="B67" s="14" t="s">
        <v>319</v>
      </c>
      <c r="C67" s="53" t="s">
        <v>58</v>
      </c>
      <c r="N67" s="14" t="s">
        <v>335</v>
      </c>
      <c r="O67" s="5" t="s">
        <v>16</v>
      </c>
      <c r="P67" s="60"/>
      <c r="Q67" s="60"/>
      <c r="R67" s="60"/>
      <c r="S67" s="60"/>
      <c r="T67" s="60"/>
      <c r="U67" s="60"/>
      <c r="V67" s="60"/>
      <c r="W67" s="60"/>
      <c r="X67" s="60"/>
      <c r="Y67" s="14" t="s">
        <v>372</v>
      </c>
      <c r="Z67" s="53" t="s">
        <v>58</v>
      </c>
      <c r="AA67" s="60"/>
      <c r="AB67" s="60"/>
      <c r="AC67" s="60"/>
      <c r="AD67" s="60"/>
      <c r="AE67" s="60"/>
      <c r="AF67" s="60"/>
      <c r="AG67" s="60"/>
      <c r="AH67" s="60"/>
      <c r="AI67" s="60"/>
      <c r="AJ67" s="14" t="s">
        <v>386</v>
      </c>
      <c r="AK67" s="53" t="s">
        <v>58</v>
      </c>
      <c r="AL67" s="60"/>
      <c r="AM67" s="60"/>
      <c r="AN67" s="60"/>
      <c r="AO67" s="60"/>
      <c r="AP67" s="60"/>
      <c r="AQ67" s="60"/>
      <c r="AR67" s="60"/>
      <c r="AS67" s="60"/>
      <c r="AT67" s="60"/>
    </row>
    <row r="68" spans="2:46" x14ac:dyDescent="0.25">
      <c r="B68" s="14" t="s">
        <v>320</v>
      </c>
      <c r="C68" s="53" t="s">
        <v>58</v>
      </c>
      <c r="N68" s="14" t="s">
        <v>336</v>
      </c>
      <c r="O68" s="5" t="s">
        <v>16</v>
      </c>
      <c r="P68" s="60"/>
      <c r="Q68" s="60"/>
      <c r="R68" s="60"/>
      <c r="S68" s="60"/>
      <c r="T68" s="60"/>
      <c r="U68" s="60"/>
      <c r="V68" s="60"/>
      <c r="W68" s="60"/>
      <c r="X68" s="60"/>
      <c r="Y68" s="14" t="s">
        <v>373</v>
      </c>
      <c r="Z68" s="53" t="s">
        <v>58</v>
      </c>
      <c r="AA68" s="60"/>
      <c r="AB68" s="60"/>
      <c r="AC68" s="60"/>
      <c r="AD68" s="60"/>
      <c r="AE68" s="60"/>
      <c r="AF68" s="60"/>
      <c r="AG68" s="60"/>
      <c r="AH68" s="60"/>
      <c r="AI68" s="60"/>
      <c r="AJ68" s="14" t="s">
        <v>387</v>
      </c>
      <c r="AK68" s="53" t="s">
        <v>58</v>
      </c>
      <c r="AL68" s="60"/>
      <c r="AM68" s="60"/>
      <c r="AN68" s="60"/>
      <c r="AO68" s="60"/>
      <c r="AP68" s="60"/>
      <c r="AQ68" s="60"/>
      <c r="AR68" s="60"/>
      <c r="AS68" s="60"/>
      <c r="AT68" s="60"/>
    </row>
    <row r="69" spans="2:46" x14ac:dyDescent="0.25">
      <c r="B69" s="14" t="s">
        <v>321</v>
      </c>
      <c r="C69" s="53" t="s">
        <v>58</v>
      </c>
      <c r="N69" s="14" t="s">
        <v>337</v>
      </c>
      <c r="O69" s="53" t="s">
        <v>58</v>
      </c>
      <c r="P69" s="60"/>
      <c r="Q69" s="60"/>
      <c r="R69" s="60"/>
      <c r="S69" s="60"/>
      <c r="T69" s="60"/>
      <c r="U69" s="60"/>
      <c r="V69" s="60"/>
      <c r="W69" s="60"/>
      <c r="X69" s="60"/>
      <c r="Y69" s="14" t="s">
        <v>375</v>
      </c>
      <c r="Z69" s="53" t="s">
        <v>58</v>
      </c>
      <c r="AA69" s="60"/>
      <c r="AB69" s="60"/>
      <c r="AC69" s="60"/>
      <c r="AD69" s="60"/>
      <c r="AE69" s="60"/>
      <c r="AF69" s="60"/>
      <c r="AG69" s="60"/>
      <c r="AH69" s="60"/>
      <c r="AI69" s="60"/>
      <c r="AJ69" s="14" t="s">
        <v>377</v>
      </c>
      <c r="AK69" s="53" t="s">
        <v>58</v>
      </c>
      <c r="AL69" s="60"/>
      <c r="AM69" s="60"/>
      <c r="AN69" s="60"/>
      <c r="AO69" s="60"/>
      <c r="AP69" s="60"/>
      <c r="AQ69" s="60"/>
      <c r="AR69" s="60"/>
      <c r="AS69" s="60"/>
      <c r="AT69" s="60"/>
    </row>
    <row r="70" spans="2:46" x14ac:dyDescent="0.25">
      <c r="B70" s="14" t="s">
        <v>322</v>
      </c>
      <c r="C70" s="53" t="s">
        <v>58</v>
      </c>
      <c r="N70" s="14" t="s">
        <v>347</v>
      </c>
      <c r="O70" s="53" t="s">
        <v>58</v>
      </c>
      <c r="P70" s="60"/>
      <c r="Q70" s="60"/>
      <c r="R70" s="60"/>
      <c r="S70" s="60"/>
      <c r="T70" s="60"/>
      <c r="U70" s="60"/>
      <c r="V70" s="60"/>
      <c r="W70" s="60"/>
      <c r="X70" s="60"/>
      <c r="Y70" s="14" t="s">
        <v>374</v>
      </c>
      <c r="Z70" s="53" t="s">
        <v>58</v>
      </c>
      <c r="AA70" s="60"/>
      <c r="AB70" s="60"/>
      <c r="AC70" s="60"/>
      <c r="AD70" s="60"/>
      <c r="AE70" s="60"/>
      <c r="AF70" s="60"/>
      <c r="AG70" s="60"/>
      <c r="AH70" s="60"/>
      <c r="AI70" s="60"/>
      <c r="AJ70" s="14" t="s">
        <v>388</v>
      </c>
      <c r="AK70" s="53" t="s">
        <v>58</v>
      </c>
      <c r="AL70" s="60"/>
      <c r="AM70" s="60"/>
      <c r="AN70" s="60"/>
      <c r="AO70" s="60"/>
      <c r="AP70" s="60"/>
      <c r="AQ70" s="60"/>
      <c r="AR70" s="60"/>
      <c r="AS70" s="60"/>
      <c r="AT70" s="60"/>
    </row>
    <row r="71" spans="2:46" x14ac:dyDescent="0.25">
      <c r="B71" s="14" t="s">
        <v>323</v>
      </c>
      <c r="C71" s="53" t="s">
        <v>58</v>
      </c>
      <c r="N71" s="14" t="s">
        <v>348</v>
      </c>
      <c r="O71" s="53" t="s">
        <v>58</v>
      </c>
      <c r="P71" s="60"/>
      <c r="Q71" s="60"/>
      <c r="R71" s="60"/>
      <c r="S71" s="60"/>
      <c r="T71" s="60"/>
      <c r="U71" s="60"/>
      <c r="V71" s="60"/>
      <c r="W71" s="60"/>
      <c r="X71" s="60"/>
      <c r="Y71" s="14" t="s">
        <v>369</v>
      </c>
      <c r="Z71" s="53" t="s">
        <v>58</v>
      </c>
      <c r="AA71" s="60"/>
      <c r="AB71" s="60"/>
      <c r="AC71" s="60"/>
      <c r="AD71" s="60"/>
      <c r="AE71" s="60"/>
      <c r="AF71" s="60"/>
      <c r="AG71" s="60"/>
      <c r="AH71" s="60"/>
      <c r="AI71" s="60"/>
      <c r="AJ71" s="14" t="s">
        <v>390</v>
      </c>
      <c r="AK71" s="53" t="s">
        <v>58</v>
      </c>
      <c r="AL71" s="60"/>
      <c r="AM71" s="60"/>
      <c r="AN71" s="60"/>
      <c r="AO71" s="60"/>
      <c r="AP71" s="60"/>
      <c r="AQ71" s="60"/>
      <c r="AR71" s="60"/>
      <c r="AS71" s="60"/>
      <c r="AT71" s="60"/>
    </row>
    <row r="72" spans="2:46" x14ac:dyDescent="0.25">
      <c r="B72" s="14" t="s">
        <v>334</v>
      </c>
      <c r="C72" s="53" t="s">
        <v>58</v>
      </c>
      <c r="N72" s="14" t="s">
        <v>352</v>
      </c>
      <c r="O72" s="53" t="s">
        <v>58</v>
      </c>
      <c r="P72" s="60"/>
      <c r="Q72" s="60"/>
      <c r="R72" s="60"/>
      <c r="S72" s="60"/>
      <c r="T72" s="60"/>
      <c r="U72" s="60"/>
      <c r="V72" s="60"/>
      <c r="W72" s="60"/>
      <c r="X72" s="60"/>
      <c r="Y72" s="14" t="s">
        <v>368</v>
      </c>
      <c r="Z72" s="53" t="s">
        <v>58</v>
      </c>
      <c r="AA72" s="60"/>
      <c r="AB72" s="60"/>
      <c r="AC72" s="60"/>
      <c r="AD72" s="60"/>
      <c r="AE72" s="60"/>
      <c r="AF72" s="60"/>
      <c r="AG72" s="60"/>
      <c r="AH72" s="60"/>
      <c r="AI72" s="60"/>
      <c r="AJ72" s="14" t="s">
        <v>391</v>
      </c>
      <c r="AK72" s="53" t="s">
        <v>58</v>
      </c>
      <c r="AL72" s="60"/>
      <c r="AM72" s="60"/>
      <c r="AN72" s="60"/>
      <c r="AO72" s="60"/>
      <c r="AP72" s="60"/>
      <c r="AQ72" s="60"/>
      <c r="AR72" s="60"/>
      <c r="AS72" s="60"/>
      <c r="AT72" s="60"/>
    </row>
    <row r="73" spans="2:46" x14ac:dyDescent="0.25">
      <c r="N73" s="14" t="s">
        <v>353</v>
      </c>
      <c r="O73" s="53" t="s">
        <v>58</v>
      </c>
      <c r="Y73" s="14" t="s">
        <v>367</v>
      </c>
      <c r="Z73" s="53" t="s">
        <v>58</v>
      </c>
      <c r="AA73" s="60"/>
      <c r="AB73" s="60"/>
      <c r="AC73" s="60"/>
      <c r="AD73" s="60"/>
      <c r="AE73" s="60"/>
      <c r="AF73" s="60"/>
      <c r="AG73" s="60"/>
      <c r="AH73" s="60"/>
      <c r="AI73" s="60"/>
      <c r="AJ73" s="14" t="s">
        <v>392</v>
      </c>
      <c r="AK73" s="53" t="s">
        <v>58</v>
      </c>
      <c r="AL73" s="60"/>
      <c r="AM73" s="60"/>
      <c r="AN73" s="60"/>
      <c r="AO73" s="60"/>
      <c r="AP73" s="60"/>
      <c r="AQ73" s="60"/>
      <c r="AR73" s="60"/>
      <c r="AS73" s="60"/>
      <c r="AT73" s="60"/>
    </row>
    <row r="74" spans="2:46" x14ac:dyDescent="0.25">
      <c r="N74" s="14" t="s">
        <v>351</v>
      </c>
      <c r="O74" s="53" t="s">
        <v>58</v>
      </c>
      <c r="AJ74" s="14" t="s">
        <v>389</v>
      </c>
      <c r="AK74" s="53" t="s">
        <v>58</v>
      </c>
    </row>
    <row r="75" spans="2:46" x14ac:dyDescent="0.25">
      <c r="N75" s="14" t="s">
        <v>350</v>
      </c>
      <c r="O75" s="53" t="s">
        <v>58</v>
      </c>
      <c r="AJ75" s="14"/>
      <c r="AK75" s="53"/>
    </row>
    <row r="76" spans="2:46" x14ac:dyDescent="0.25">
      <c r="N76" s="14" t="s">
        <v>349</v>
      </c>
      <c r="O76" s="53" t="s">
        <v>58</v>
      </c>
    </row>
  </sheetData>
  <mergeCells count="4">
    <mergeCell ref="B2:C2"/>
    <mergeCell ref="N2:O2"/>
    <mergeCell ref="Y2:Z2"/>
    <mergeCell ref="AJ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Sheet4</vt:lpstr>
      <vt:lpstr>Sheet6</vt:lpstr>
      <vt:lpstr>Sheet3</vt:lpstr>
      <vt:lpstr>Sheet1</vt:lpstr>
      <vt:lpstr>Sheet5</vt:lpstr>
      <vt:lpstr>1.7</vt:lpstr>
      <vt:lpstr>1.6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 ferreyra</dc:creator>
  <cp:lastModifiedBy>landon ferreyra</cp:lastModifiedBy>
  <dcterms:created xsi:type="dcterms:W3CDTF">2024-09-19T13:58:46Z</dcterms:created>
  <dcterms:modified xsi:type="dcterms:W3CDTF">2025-08-30T02:53:43Z</dcterms:modified>
</cp:coreProperties>
</file>